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vs_eval" sheetId="1" r:id="rId5"/>
    <sheet state="visible" name="metrics" sheetId="2" r:id="rId6"/>
  </sheets>
  <definedNames/>
  <calcPr/>
</workbook>
</file>

<file path=xl/sharedStrings.xml><?xml version="1.0" encoding="utf-8"?>
<sst xmlns="http://schemas.openxmlformats.org/spreadsheetml/2006/main" count="839" uniqueCount="545">
  <si>
    <t>Document ID</t>
  </si>
  <si>
    <t>Organization ID</t>
  </si>
  <si>
    <t>Document Link</t>
  </si>
  <si>
    <t>Note Type Class</t>
  </si>
  <si>
    <t>Reader Specialty</t>
  </si>
  <si>
    <t>Model 1 Generated Summary</t>
  </si>
  <si>
    <t>Model 2 Generated Summary</t>
  </si>
  <si>
    <t>Model 3 Generated Summary</t>
  </si>
  <si>
    <t>Hallucination - Fabrication</t>
  </si>
  <si>
    <t>Hallucination findings</t>
  </si>
  <si>
    <t>Halluciantion - Inference</t>
  </si>
  <si>
    <t>Inference Breakdown</t>
  </si>
  <si>
    <t>Inference findings</t>
  </si>
  <si>
    <t>Pertinent Omission</t>
  </si>
  <si>
    <t>Omission findings</t>
  </si>
  <si>
    <t>Omission Severity</t>
  </si>
  <si>
    <t xml:space="preserve">Extraneous Information
</t>
  </si>
  <si>
    <t>Extraneous Information findings</t>
  </si>
  <si>
    <t>Extraneous Information Severity</t>
  </si>
  <si>
    <t>Flow</t>
  </si>
  <si>
    <t>Flow findings</t>
  </si>
  <si>
    <t>Comments: One liner enhancement</t>
  </si>
  <si>
    <t>Comments: visit summary</t>
  </si>
  <si>
    <t>35193739052</t>
  </si>
  <si>
    <t>650b99b2-81d4-4801-bac5-fdf999d25556</t>
  </si>
  <si>
    <t>suki_650b99b2-81d4-4801-bac5-fdf999d25556_patients_1758678_35193739052.pdf</t>
  </si>
  <si>
    <t>POST_OPERATIVE_REPORT</t>
  </si>
  <si>
    <t>Internal Medicine</t>
  </si>
  <si>
    <t>Anesthesia postoperative evaluation following surgery. Patient remains intubated and sedated with stable vital signs and adequate hydration. No perioperative complications were reported. Transferred to the ICU for ongoing ventilatory support and close clinical monitoring.</t>
  </si>
  <si>
    <t>Postoperative anesthesia evaluation shows the patient remains intubated and sedated with a patent airway. No perioperative events or complications occurred. Hemodynamics are stable with adequate pain control. The patient is transferred to the ICU for continued monitoring.</t>
  </si>
  <si>
    <t>Post-anesthesia evaluation after surgery: intubated/sedated with patent airway and adequate hydration. No nausea/vomiting, pain 0, and no perioperative events. Hemodynamically stable (BP 142/71, pulse 60, SpO2 99%); planned ICU care.</t>
  </si>
  <si>
    <t>35451377528</t>
  </si>
  <si>
    <t>suki_650b99b2-81d4-4801-bac5-fdf999d25556_patients_1853027_35451377528.pdf</t>
  </si>
  <si>
    <t>OPERATIVE_REPORT</t>
  </si>
  <si>
    <t>Upper GI endoscopy performed for gastroesophageal reflux disease. Findings revealed a normal esophagus and duodenum with two sessile gastric fundus polyps. Polyps were resected via cold snare. Plan involves awaiting pathology results while continuing current medications and diet.</t>
  </si>
  <si>
    <t>Upper GI endoscopy for gastroesophageal reflux disease revealed a normal esophagus and duodenum. Two 4 mm sessile polyps in the gastric fundus were resected with a cold snare and retrieved. The plan is to await pathology results.</t>
  </si>
  <si>
    <t>EGD for GERD symptoms revealed normal esophagus and duodenum; two 4‑mm sessile gastric fundus polyps were cold-snare resected and retrieved without complications. Advised resume diet/meds, return to normal activities next day, and await pathology.</t>
  </si>
  <si>
    <t>34981575364</t>
  </si>
  <si>
    <t>suki_650b99b2-81d4-4801-bac5-fdf999d25556_patients_1990276_34981575364.pdf</t>
  </si>
  <si>
    <t>OFFICE_CLINIC_NOTE</t>
  </si>
  <si>
    <t>Evaluation for third liver transplant due to ischemic cholangiopathy and celiac artery thrombosis. Notable findings include biliary obstruction and stage 3 chronic kidney disease. Plan involves an IR consult and high-volume blood product preparation. Normal echocardiogram noted.</t>
  </si>
  <si>
    <t>Anesthesia evaluation for a third liver transplant complicated by ischemic cholangiopathy and celiac artery thrombosis. The patient is highly deconditioned with a normal echocardiogram. Due to significant surgical complexity, ordered an IR consult and recommended preparing 20 PRBCs.</t>
  </si>
  <si>
    <t>Anesthesia evaluation for potential third liver transplant for ischemic cholangiopathy with celiac/portal vein thromboses and biliary obstruction. Markedly deconditioned; CKD3 with anemia/thrombocytopenia on apixaban. Echo normal EF with mild–moderate MR. Plan: prepare 20 units PRBC; IR consult.</t>
  </si>
  <si>
    <t>35409948227</t>
  </si>
  <si>
    <t>suki_650b99b2-81d4-4801-bac5-fdf999d25556_patients_2042341_35409948227.pdf</t>
  </si>
  <si>
    <t>DISCHARGE_SUMMARY</t>
  </si>
  <si>
    <t>Hospitalization for chest pain, alcohol intoxication, and altered mental status. Managed acute gout flare with anakinra and encephalopathy via CIWA protocol. Restarted allopurinol after ruling out fracture and DVT. Discharge plan involves rheumatology, nephrology, and primary care follow-up.</t>
  </si>
  <si>
    <t>Admitted for chest pain, altered mental status, and alcohol intoxication, resolving with CIWA-guided therapy. Hospitalization complicated by a left arm gout flare requiring anakinra due to standard medication intolerances. Discharged on low-dose allopurinol with pending labs and multidisciplinary follow-up.</t>
  </si>
  <si>
    <t>Admitted after unresponsiveness with chest pain, alcohol intoxication, and altered mental status. Left wrist/hand gout flare; colchicine/NSAIDs/steroids not tolerated. Treated with CIWA benzodiazepines/thiamine, anakinra, and restarted allopurinol. Discharged with primary care, rheumatology, and nephrology follow-up and pending BMP/CBC/magnesium.</t>
  </si>
  <si>
    <t>36033589720</t>
  </si>
  <si>
    <t>suki_650b99b2-81d4-4801-bac5-fdf999d25556_patients_2070888_36033589720.pdf</t>
  </si>
  <si>
    <t>Hospital discharge for left internal jugular vein thrombus associated with an indwelling port. Initiated apixaban for anticoagulation. Plan includes repeat CBC and oncology follow-up to discuss port management and therapeutic duration for metastatic breast cancer.</t>
  </si>
  <si>
    <t>Hospitalized for dyspnea, revealing a new port-associated left internal jugular vein thrombus in the setting of metastatic breast cancer. Initiated apixaban. Discharged with orders for a repeat CBC and oncology follow-up to determine port management and anticoagulation duration.</t>
  </si>
  <si>
    <t>Hospitalized for dyspnea; CTA ruled out pulmonary embolism but suggested left internal jugular thrombosis, nonocclusive on duplex, possibly port-related. Discharged on apixaban, bleeding precautions, repeat CBC in one week, follow up with PCP/oncology for port and anticoagulation duration.</t>
  </si>
  <si>
    <t>35935671184</t>
  </si>
  <si>
    <t>suki_650b99b2-81d4-4801-bac5-fdf999d25556_patients_2206314_35935671184.pdf</t>
  </si>
  <si>
    <t>Post-operative evaluation for left lower quadrant pain and vomiting following Roux-en-Y gastric bypass. CT angiography ruled out pulmonary embolism, bowel obstruction, and anastomotic leak. Findings include bilateral adrenal gland thickening. No acute imaging findings correlate with history.</t>
  </si>
  <si>
    <t>CT angiography evaluated left lower quadrant pain and vomiting after Roux-en-Y gastric bypass. The scan revealed no acute findings, pulmonary embolism, or bowel obstruction. Incidental bilateral adrenal gland thickening and mild coronary artery calcifications were noted.</t>
  </si>
  <si>
    <t>Post–gastric bypass patient evaluated for left lower quadrant pain and vomiting. CTA chest/abdomen/pelvis with IV contrast found no pulmonary embolism, bowel obstruction/inflammation, appendicitis, pneumatosis, free air/fluid, or hydronephrosis; mild coronary calcifications and bilateral adrenal thickening.</t>
  </si>
  <si>
    <t>35878129290</t>
  </si>
  <si>
    <t>suki_650b99b2-81d4-4801-bac5-fdf999d25556_patients_2647831_35878129290.pdf</t>
  </si>
  <si>
    <t>Primary care follow-up for poorly controlled diabetes and BPH. Adjusted Jardiance frequency for hyperglycemia and medication non-adherence. Ordered A1c, lipids, and PSA to monitor Stage 3a CKD, hypercholesterolemia, and prostate symptoms. Administered flu vaccine; return in four months.</t>
  </si>
  <si>
    <t>Primary care visit for type 2 diabetes with hyperglycemia, pure hypercholesterolemia, and worsening Stage 3a CKD. Adjusted Jardiance to every other day for tolerability and refilled other chronic medications. Administered flu vaccine and provided extensive lifestyle counseling.</t>
  </si>
  <si>
    <t>Followup for uncontrolled T2DM with hypertriglyceridemia and stage 3a CKD. Counseled on diet and adherence; continued metformin and Rybelsus, restarted Jardiance every other day. Refilled losartan and simvastatin; ordered A1c, BMP, microalbumin, lipids; gave flu vaccine and advised COVID booster.</t>
  </si>
  <si>
    <t>35187269729</t>
  </si>
  <si>
    <t>suki_650b99b2-81d4-4801-bac5-fdf999d25556_patients_3629834_35187269729.pdf</t>
  </si>
  <si>
    <t>ED_NOTE</t>
  </si>
  <si>
    <t>Emergency visit for chest pain, unspecified type, likely musculoskeletal in origin. Negative serial troponins, stable chest x-ray, and paced rhythm ruled out acute coronary syndrome. Discharged home with PRN acetaminophen and instructions to follow up with primary care.</t>
  </si>
  <si>
    <t>ED visit for reproducible left chest pain. Serial troponins, EKG, and chest x-ray were negative, ruling out acute coronary syndrome. Diagnosed with musculoskeletal chest wall pain. Discharged home with recommendations for acetaminophen and primary care follow-up.</t>
  </si>
  <si>
    <t>ED visit for left-sided chest pain after lifting; exam showed reproducible chest wall tenderness. ACS ruled out with paced EKG without ischemic changes, troponins negative, and normal chest X-ray. Treated with acetaminophen; discharged with PCP follow-up and return precautions.</t>
  </si>
  <si>
    <t>33722621549</t>
  </si>
  <si>
    <t>suki_650b99b2-81d4-4801-bac5-fdf999d25556_patients_5468853_33722621549.pdf</t>
  </si>
  <si>
    <t>Urgent care visit for worsening right wrist pain following travel. Imaging confirmed 1st CMC and triscaphe osteoarthritis without acute fracture. Prescribed topical diclofenac and referred to orthopedics. Advised joint rest and follow-up with primary care for chronic management.</t>
  </si>
  <si>
    <t>Urgent care visit for progressive right wrist pain after rolling luggage. X-rays revealed mild osteoarthritis without acute fracture. Assessed with wrist pain, likely tendinopathy or arthritis. Prescribed topical diclofenac, advised rest, and referred to orthopedics for further evaluation.</t>
  </si>
  <si>
    <t>Seen for 2 months progressive right radial wrist pain after prolonged suitcase rolling with thumb weakness. Exam tender without swelling. Wrist X-ray: no fracture, osteopenia, mild 1st CMC/triscaphe osteoarthritis. Started topical diclofenac, advised rest/gentle ROM, orthopedic referral.</t>
  </si>
  <si>
    <t>34043945278</t>
  </si>
  <si>
    <t>suki_650b99b2-81d4-4801-bac5-fdf999d25556_patients_5468853_34043945278.pdf</t>
  </si>
  <si>
    <t>Rheumatology follow-up for undifferentiated connective tissue disease and dyspnea. Increased amlodipine for worsening Raynaud's. Ordered comprehensive labs including dsDNA, complement, and hydroxychloroquine levels. Reiterated importance of PFTs and recommended pulmonology, ophthalmology, and diabetic evaluations.</t>
  </si>
  <si>
    <t>Rheumatology visit for UCTD with ongoing dyspnea and worsened Raynaud's. Increased amlodipine. Strongly urged PFTs and pulmonology evaluation to assess dyspnea for pulmonary arterial hypertension. Ordered comprehensive autoimmune monitoring labs and an HbA1c.</t>
  </si>
  <si>
    <t>Follow-up for UCTD with centromere positivity, dyspnea, worsening Raynaud, and prediabetes. CT stable bronchiolitis/bronchiectasis; echo RVSP normal but PAH risk—urged PFTs and pulmonary follow-up, no additional immunosuppression. Increased amlodipine, continued hydroxychloroquine with eye exam, ordered labs and A1c.</t>
  </si>
  <si>
    <t>35621314683</t>
  </si>
  <si>
    <t>suki_650b99b2-81d4-4801-bac5-fdf999d25556_patients_5919647_35621314683.pdf</t>
  </si>
  <si>
    <t>HISTORY_AND_PHYSICAL_NOTE</t>
  </si>
  <si>
    <t>Gastroenterology visit for screening colonoscopy and constipation with possible rectal prolapse. Significant history includes tubular adenomas and family history of colon cancer. Scheduled colonoscopy and ordered Suprep bowel prep. Recommended continuing daily Miralax and adding fiber.</t>
  </si>
  <si>
    <t>Gastroenterology visit for colonoscopy screening given a history of tubular adenomas and maternal colon cancer. Scheduled the procedure and ordered Suprep bowel kit. Advised continuing daily Miralax and adding a fiber supplement to manage straining and constipation.</t>
  </si>
  <si>
    <t>GI visit for colonoscopy screening after prior poor prep, tubular adenomas, and maternal colon cancer; constipation and hemorrhoids with vaginal bulge under urogyne evaluation. Colonoscopy scheduled; Suprep prescribed, risks reviewed, confirmed no anticoagulants or GLP1. Continue Miralax and add fiber.</t>
  </si>
  <si>
    <t>34504784857</t>
  </si>
  <si>
    <t>suki_650b99b2-81d4-4801-bac5-fdf999d25556_patients_8374797_34504784857.pdf</t>
  </si>
  <si>
    <t>Hospitalization for abdominal pain and diarrhea. Diagnosed with colitis and bilateral obstructive ureteral calculi. Underwent cystoscopy with bilateral stent placement. Discharged on cefuroxime, metronidazole, tamsulosin, and pyridium. Plan includes urology follow-up and evaluation of a potential pelvic mass.</t>
  </si>
  <si>
    <t>Admission for abdominal pain and diarrhea. Discharge diagnoses: 1. Bilateral obstructive ureteral calculi, 2. Colitis. Treated with cystoscopy and bilateral stent placement. Discharged on cefuroxime, metronidazole, tamsulosin, and pyridium with planned outpatient urology follow-up.</t>
  </si>
  <si>
    <t>Hospitalized for right-sided abdominal pain with diarrhea/vomiting. CT showed bilateral obstructing ureteral calculi and colitis; incidental uterine mass. Underwent cystoscopy with bilateral ureteral stents; treated with cefuroxime/metronidazole, discharged stable on tamsulosin/pyridium, follow up urology.</t>
  </si>
  <si>
    <t>35549371404</t>
  </si>
  <si>
    <t>suki_650b99b2-81d4-4801-bac5-fdf999d25556_patients_12392056_35549371404.pdf</t>
  </si>
  <si>
    <t>Orthopedic evaluation for worsening right hand numbness and tingling despite conservative bracing. Physical examination confirmed carpal tunnel syndrome with positive Tinel’s and median nerve compression tests. Patient consented to and was scheduled for a right endoscopic carpal tunnel release.</t>
  </si>
  <si>
    <t>Orthopedic visit for worsening right hand numbness and tingling despite nocturnal bracing. Examination revealed positive Tinnel's and median nerve compression tests. Diagnosed with right carpal tunnel syndrome. Patient consented and is scheduled for right endoscopic carpal tunnel release.</t>
  </si>
  <si>
    <t>Follow-up for worsening nocturnal right-hand numbness/tingling despite bracing; prior left carpal tunnel release was successful. Exam showed decreased radial-digit sensation with positive Tinel and median nerve compression. Consent obtained for right endoscopic carpal tunnel release; postoperative restrictions reviewed.</t>
  </si>
  <si>
    <t>34989077023</t>
  </si>
  <si>
    <t>suki_650b99b2-81d4-4801-bac5-fdf999d25556_patients_12877118_34989077023.pdf</t>
  </si>
  <si>
    <t>Primary care visit for cough, sore throat, and rhinitis. Rapid COVID, influenza, and strep tests were negative. Prescribed azithromycin for suspected bronchitis and ordered a chest x-ray to rule out pneumonia. Refilled albuterol and desloratadine; follow-up as needed.</t>
  </si>
  <si>
    <t>Primary care visit for persistent cough, congestion, and headache prior to travel. Rapid COVID, influenza, and strep tests were negative. Assessed for suspected bronchitis and allergic rhinitis; prescribed azithromycin, ordered a chest X-ray, and refilled albuterol and desloratadine.</t>
  </si>
  <si>
    <t>Seen for 3-week productive cough with congestion, sore throat, and headache before upcoming travel. COVID/flu/strep tests negative; treated presumed bacterial bronchitis with azithromycin, ordered chest X-ray to exclude pneumonia, refilled albuterol and desloratadine, advised in-person follow-up if persistent.</t>
  </si>
  <si>
    <t>35759402542</t>
  </si>
  <si>
    <t>suki_650b99b2-81d4-4801-bac5-fdf999d25556_patients_16896163_35759402542.pdf</t>
  </si>
  <si>
    <t>Cardiology follow-up for atrial fibrillation and surgical clearance. Significant weight loss achieved on Ozempic; patient is cleared for hip surgery following a required dental extraction. Denies palpitations or syncope. Continue current management for aortic stenosis, hypertension, and anticoagulation.</t>
  </si>
  <si>
    <t>Cardiology follow-up for atrial fibrillation and upcoming hip surgery. The asymptomatic patient is compliant with CPAP and lost over 100 pounds on semaglutide. Examination confirmed irregular rhythm and mild edema. Dental extraction is required before the orthopedic procedure.</t>
  </si>
  <si>
    <t>Follow-up for atrial fibrillation before hip surgery; dental extraction pending. On apixaban; &gt;100‑lb weight loss on semaglutide; no palpitations/syncope, CPAP compliant. Exam: murmur, edema. Prior cath patent stents and 4.9‑cm ascending aorta; echo EF 50–55% with mild aortic stenosis.</t>
  </si>
  <si>
    <t>35806784868</t>
  </si>
  <si>
    <t>suki_650b99b2-81d4-4801-bac5-fdf999d25556_patients_17021248_35806784868.pdf</t>
  </si>
  <si>
    <t>Gastroenterology visit for repeat colonoscopy screening following a prior suboptimal bowel preparation and history of sigmoid polyps. The plan involves an extended bowel preparation using GaviLyte-G and magnesium citrate, supplemented with ondansetron for nausea and dietary modifications.</t>
  </si>
  <si>
    <t>Gastroenterology visit for colon cancer screening and history of polyps. Repeat colonoscopy ordered due to a prior suboptimal study. Prescribed an extended PEG bowel prep with magnesium citrate, dietary restrictions, and prophylactic ondansetron for prep-associated nausea.</t>
  </si>
  <si>
    <t>Gastroenterology visit to arrange repeat colonoscopy because prior exam found four sigmoid hyperplastic polyps with suboptimal bowel prep; patient asymptomatic but previously vomited prep. Provided extended low-residue/clear-liquid regimen, PEG plus magnesium citrate, ondansetron, and stop multivitamins.</t>
  </si>
  <si>
    <t>34855964092</t>
  </si>
  <si>
    <t>suki_650b99b2-81d4-4801-bac5-fdf999d25556_patients_17209235_34855964092.pdf</t>
  </si>
  <si>
    <t>Anesthesia postoperative evaluation following surgery. Patient returned to baseline mental status with a patent airway and no perioperative complications. Clinical findings demonstrate adequate hydration and no nausea. Transferred to the floor for continued monitoring and routine postoperative care.</t>
  </si>
  <si>
    <t>Routine anesthesia post-operative evaluation confirms the patient is awake, alert, and at baseline with a patent airway. No perioperative events or nausea occurred. Vitals are hemodynamically stable, though pain is elevated. Follow-up care continues on the floor.</t>
  </si>
  <si>
    <t>Post-anesthesia evaluation after surgery: no nausea/vomiting or perioperative events; awake/alert at baseline, airway patent, hydration adequate. Vitals acceptable (BP 96/63, SpO2 100%) but pain score 7; continued routine floor recovery/monitoring.</t>
  </si>
  <si>
    <t>34469206027</t>
  </si>
  <si>
    <t>suki_650b99b2-81d4-4801-bac5-fdf999d25556_patients_18263882_34469206027.pdf</t>
  </si>
  <si>
    <t>Urgent care visit for congestion and sore throat. Diagnosed cerumen impaction, sinusitis, and hypertension. Respiratory testing was negative. Prescribed Augmentin and azelastine nasal spray. Recommended cerumenolytic drops and follow-up with a primary care provider.</t>
  </si>
  <si>
    <t>Urgent care visit for prolonged congestion and sore throat. Point-of-care COVID, flu, RSV, and strep tests were negative. Diagnosed with sinusitis and cerumen impaction. Prescribed Augmentin and azelastine nasal spray; advised over-the-counter Debrox and decongestants.</t>
  </si>
  <si>
    <t>Seen for 1-week congestion/sore throat; exam with maxillary sinus tenderness, friable nasal mucosa, left cerumen impaction. COVID/flu/RSV/strep PCRs negative. Diagnosed sinusitis, cerumen impaction, hypertension; prescribed Augmentin and azelastine, advised Debrox, OTC decongestants/saline, PCP follow-up for symptoms/BP.</t>
  </si>
  <si>
    <t>35815323273</t>
  </si>
  <si>
    <t>suki_650b99b2-81d4-4801-bac5-fdf999d25556_patients_26391553_35815323273.pdf</t>
  </si>
  <si>
    <t>Hospitalization for decompensated heart failure with EF 25-30%, acute on chronic systolic congestive heart failure, and bilateral pleural effusions. Achieved significant diuresis and transitioned to oral torsemide. Follow cardiology and resume Entresto once renal function is stable.</t>
  </si>
  <si>
    <t>Admitted for decompensated acute on chronic systolic heart failure presenting with dyspnea and pleural effusions. Diuresed effectively and transitioned to torsemide. Echocardiogram showed ejection fraction 25-30%. Discharged with instructions to resume Entresto outpatient and follow up with cardiology.</t>
  </si>
  <si>
    <t>Admitted for decompensated HFrEF from nonischemic cardiomyopathy (EF 25–30%) with pleural effusions and AKI. Diuresed with IV then oral torsemide; potassium added. Hold Entresto until renal function stable; cardiology follow-up. Monitor pancytopenia from malignancy and 5‑mm lung nodule.</t>
  </si>
  <si>
    <t>35700835097</t>
  </si>
  <si>
    <t>suki_650b99b2-81d4-4801-bac5-fdf999d25556_patients_29454487_35700835097.pdf</t>
  </si>
  <si>
    <t>Gynecology follow-up for endometriosis, dysmenorrhea, and abnormal uterine bleeding. Patient desires definitive surgical management. Echocardiogram revealed no valvular disease. Plan includes total laparoscopic hysterectomy, bilateral salpingectomy, and possible excision. Preoperative testing ordered includes CBC and type and screen.</t>
  </si>
  <si>
    <t>Gynecology pre-operative evaluation for endometriosis, abnormal uterine bleeding, and dysmenorrhea. Symptoms improved on Aygestin but she desires definitive management. Cardiac clearance confirmed via normal echocardiogram. Planned for total laparoscopic hysterectomy, bilateral salpingectomy, and possible endometriosis excision; pre-operative CBC ordered.</t>
  </si>
  <si>
    <t>Preop minimally invasive gyn follow-up for endometriosis with AUB and pelvic pain improved on norethindrone. Cardiology clearance reassuring: normal echo, no valvular disease; incomplete RBBB. Planning EUA/TLH with salpingectomy, possible endometriosis excision/cystoscopy; ERAS and CBC/UPT/T&amp;S ordered.</t>
  </si>
  <si>
    <t>35874897228</t>
  </si>
  <si>
    <t>suki_650b99b2-81d4-4801-bac5-fdf999d25556_patients_29544910_35874897228.pdf</t>
  </si>
  <si>
    <t>Pre-operative clearance for bilateral cataract extraction. Encounter revealed hypertension and bilateral glaucoma. Restarted lisinopril for blood pressure management. Ordered screening Cologuard and comprehensive labs, which showed hyperkalemia. Cleared for surgery with follow-up scheduled for blood pressure monitoring.</t>
  </si>
  <si>
    <t>Pre-operative evaluation for bilateral cataract extraction. Patient was cleared for surgery as low cardiac risk. For elevated blood pressure, lisinopril was restarted with a two-week follow-up. Ordered comprehensive preoperative labs and a Cologuard test for colorectal cancer screening.</t>
  </si>
  <si>
    <t>Pre-op clearance for planned bilateral cataract extraction with IOL; considered low risk. Marked hypertension with BP 180/100 prompted restarting lisinopril, home BP monitoring, and short-interval follow-up. EKG sinus rhythm with pause. Ordered fasting labs and Cologuard; potassium 6.0.</t>
  </si>
  <si>
    <t>35191696846</t>
  </si>
  <si>
    <t>suki_650b99b2-81d4-4801-bac5-fdf999d25556_patients_31394849_35191696846.pdf</t>
  </si>
  <si>
    <t>Admission for acute gastroenteritis with associated demand troponin elevation and hypokalemia. CT imaging showed nonspecific perinephric stranding. Managed with supportive fluids and anti-emetics. Discharged home tolerating oral intake with instructions to follow up with primary care.</t>
  </si>
  <si>
    <t>ED visit for nausea, vomiting, and abdominal pain diagnosed as acute gastroenteritis, which resolved with supportive care. Also noted demand ischemia and hyperglycemia. Discharged home with dicyclomine and prochlorperazine. Follow up for glucose monitoring and insulin adjustments.</t>
  </si>
  <si>
    <t>Admitted from ED for N/V/D and abdominal pain. CT A/P negative; UA clear. Diagnosed acute gastroenteritis with hypokalemia/hypomagnesemia, hyperglycemia, and demand-type troponin elevation. Treated with fluids/antiemetics; discharged on Bentyl/Compazine, stopped clonidine/ondansetron, continue insulin/metformin, PCP follow-up.</t>
  </si>
  <si>
    <t>35761207432</t>
  </si>
  <si>
    <t>suki_650b99b2-81d4-4801-bac5-fdf999d25556_patients_34225456_35761207432.pdf</t>
  </si>
  <si>
    <t>Preoperative evaluation for parastomal hernia repair and colostomy revision. Addressed hypertension, Klebsiella urinary tract infection, and vitamin B12 and D deficiencies. Ordered preoperative labs and EKG, refilled maintenance medications, and coordinated specialty care for dental caries.</t>
  </si>
  <si>
    <t>Preoperative assessment for parastomal hernia repair and colostomy revision. Patient cleared for surgery with EKG and comprehensive labs ordered. Addressed hypertension noncompliance, prescribed clindamycin for a dental infection, continued Macrobid for UTI, and refilled chronic dermatologic medications.</t>
  </si>
  <si>
    <t>Preoperative H&amp;P for upcoming parastomal hernia repair/colostomy revision. No cardiopulmonary symptoms; cleared for surgery with apixaban held 5 days preop. Klebsiella UTI treated with nitrofurantoin and repeat urinalysis/culture planned; reinforced BP medication adherence.</t>
  </si>
  <si>
    <t>11958179416</t>
  </si>
  <si>
    <t>740f1901-b69f-4a6b-9650-12cfad081472</t>
  </si>
  <si>
    <t>suki_740f1901-b69f-4a6b-9650-12cfad081472_patients_364922_11958179416.pdf</t>
  </si>
  <si>
    <t>Emergency visit for post-extraction dental hemorrhage while on anticoagulation. Bleeding controlled with tranexamic acid gauze. Labs showed therapeutic INR and thrombocytosis. Discharged home with instructions to continue Coumadin and follow up with primary care and dental services.</t>
  </si>
  <si>
    <t>ED visit for oral bleeding post-dental extractions while on Coumadin. Dental consulted and cleared the patient. Treated successfully with tranexamic acid-soaked gauze. Discharged home; instructed to continue Coumadin given an INR of 2.1 and follow up with primary care.</t>
  </si>
  <si>
    <t>ED visit for persistent post-dental extraction oral bleeding while on Coumadin. Exam showed gauze packing without active hemorrhage; labs notable for thrombocytosis and INR 2.1. Treated with tranexamic acid–soaked gauze, dental consulted/cleared, discharged on anticoagulation with PCP and dental follow-up.</t>
  </si>
  <si>
    <t>11967884386</t>
  </si>
  <si>
    <t>suki_740f1901-b69f-4a6b-9650-12cfad081472_patients_364922_11967884386.pdf</t>
  </si>
  <si>
    <t>PROGRESS_NOTE</t>
  </si>
  <si>
    <t>Hospital follow-up for altered mental status, likely multifactorial from hypothyroidism and medication non-adherence. Managed chronic hypertension, thrombocytosis, and bipolar disorder. Recommended 24/7 supervision for cognitive impairment. Coordinated specialty follow-up with cardiology, hematology, and psychiatry for ongoing management.</t>
  </si>
  <si>
    <t>Hospital follow-up for multifactorial altered mental status. Advised 24/7 home supervision for cognitive impairment. Continued current therapies for hypertension, hypothyroidism, and recurrent DVT with home INR monitoring. Patient will continue multidisciplinary follow-up with psychiatry, cardiology, and hematology.</t>
  </si>
  <si>
    <t>Hospital follow-up for altered mental status and cognitive decline. Evaluations suggested causes: missed levothyroxine with TSH 19, untreated sleep apnea, polypharmacy; brain MRI without acute findings. Continue levothyroxine and warfarin with INR monitoring; psychiatry follow-up and arrange continuous supervision/private aide.</t>
  </si>
  <si>
    <t>11979008627</t>
  </si>
  <si>
    <t>suki_740f1901-b69f-4a6b-9650-12cfad081472_patients_364922_11979008627.pdf</t>
  </si>
  <si>
    <t>Cardiology visit for pulmonary emboli, hypertension, and dyslipidemia. Currently asymptomatic, but a radionuclide stress test was recommended to evaluate chest discomfort reported during rehabilitation. Plan includes continuing warfarin and monitoring insulin resistance and TBI-related compliance.</t>
  </si>
  <si>
    <t>Cardiology visit. Patient lacks acute cardiac symptoms, but severe cognitive decline and levothyroxine noncompliance now require 24/7 supervision. Assessments include pulmonary emboli on Coumadin and traumatic brain injury. Ordered a radionuclide stress test for chest discomfort during rehab.</t>
  </si>
  <si>
    <t>Cardiology follow-up: no current chest pain, palpitations, or syncope. Continued chronic warfarin for recurrent pulmonary emboli. Reviewed TBI/cognitive impairment with recent AMS likely from missed levothyroxine; reinforced need for 24/7 supervision. Recommended radionuclide stress test for rehab chest discomfort.</t>
  </si>
  <si>
    <t>11830995450</t>
  </si>
  <si>
    <t>suki_740f1901-b69f-4a6b-9650-12cfad081472_patients_385605_11830995450.pdf</t>
  </si>
  <si>
    <t>CONSULT_NOTE</t>
  </si>
  <si>
    <t>Cardiology follow-up for hypertension, dyslipidemia, and exertional dyspnea. BP is stable; transitioned to daily losartan while holding spironolactone. Restarted rosuvastatin and ezetimibe for dyslipidemia management. Dyspnea attributed to deconditioning. Ordered BMP and referred for non-surgical weight loss.</t>
  </si>
  <si>
    <t>Cardiology follow-up for hypertension, dyslipidemia, and obesity. Exertional dyspnea and palpitations evaluated with benign Holter, stress test, and echocardiogram; symptoms likely reflect deconditioning. Advised resuming daily losartan with follow-up BMP, continuing lipid-lowering therapy, and referred for nonsurgical weight management.</t>
  </si>
  <si>
    <t>Cardiology follow-up for hypertension, dyslipidemia and edema; exertional dyspnea/palpitations with negative stress test and Holter. Edema improved on furosemide; BP controlled. Switched PRN losartan/spironolactone to daily losartan, ordered BMP. Continue rosuvastatin/ezetimibe, check fasting lipids, repeat echo, follow-up in 6 months.</t>
  </si>
  <si>
    <t>11959184503</t>
  </si>
  <si>
    <t>suki_740f1901-b69f-4a6b-9650-12cfad081472_patients_408353_11959184503.pdf</t>
  </si>
  <si>
    <t>Urgent laparoscopic appendectomy and lysis of adhesions performed for acute perforated appendicitis. Intraoperative findings revealed an appendiceal abscess; pus was suctioned and sent for cultures. The procedure was uncomplicated with a dirty wound classification.</t>
  </si>
  <si>
    <t>Postoperative report for urgent laparoscopic appendectomy and lysis of adhesions due to acute perforated appendicitis. Intraoperative findings noted a perforated appendiceal tip with a pus pocket. Abscess fluid was suctioned and sent for cultures. No complications occurred.</t>
  </si>
  <si>
    <t>Urgent laparoscopic appendectomy with lysis of adhesions for acute appendicitis; confirmed perforated appendix with pelvic pus pocket, suctioned and sent for abscess cultures. Appendix stapled and removed; dirty wound class, EBL 10 mL, no complications.</t>
  </si>
  <si>
    <t>11978966295</t>
  </si>
  <si>
    <t>suki_740f1901-b69f-4a6b-9650-12cfad081472_patients_980881_11978966295.pdf</t>
  </si>
  <si>
    <t>Dermatology visit for a psoriasis flare and a new lip lesion. Managed psoriasis vulgaris and cheilitis by restarting halobetasol for body lesions and hydrocortisone for facial folds. Initiated topical steroids for cheilitis with biopsy planned if unresolved.</t>
  </si>
  <si>
    <t>Dermatology visit for a psoriasis flare and new upper lip lesion. Diagnoses include psoriasis vulgaris and cheilitis. Restarted topical halobetasol and hydrocortisone for the body and face. Trialing halobetasol for the lip, planning a biopsy if unresolved.</t>
  </si>
  <si>
    <t>Seen for psoriasis flare after running out of medication and intermittent upper lip lesion. Exam showed &lt;1% BSA plaques and scaly cheilitis. Restarted halobetasol for body and hydrocortisone for face/folds; trial halobetasol plus emollient to lips; biopsy if unresolved.</t>
  </si>
  <si>
    <t>11762921256</t>
  </si>
  <si>
    <t>suki_740f1901-b69f-4a6b-9650-12cfad081472_patients_1355745_11762921256.pdf</t>
  </si>
  <si>
    <t>Cardiology follow-up for palpitations and paroxysmal atrial fibrillation. Holter monitor revealed sinus arrhythmia, rare unifocal VPCs in bigeminy, and transient T-wave inversions. Patient symptoms did not correlate with arrhythmias. No medication changes or new orders were issued.</t>
  </si>
  <si>
    <t>Cardiology Holter monitor review for palpitations. Tracing revealed sinus arrhythmia, rare unifocal VPCs with nonsustained bigeminy, and transient T-wave inversions. Symptoms correlated with normal sinus rhythm. Diagnoses include paroxysmal atrial fibrillation and palpitations. No medication changes or new orders.</t>
  </si>
  <si>
    <t>Cardiology visit for palpitations and paroxysmal atrial fibrillation. Holter showed sinus arrhythmia 60–104 bpm with rare unifocal PVCs sometimes in bigeminy and transient T-wave inversion; palpitations occurred during normal sinus rhythm. No orders or medication changes.</t>
  </si>
  <si>
    <t>12006071751</t>
  </si>
  <si>
    <t>suki_740f1901-b69f-4a6b-9650-12cfad081472_patients_1434124_12006071751.pdf</t>
  </si>
  <si>
    <t>Cardiology telehealth visit for heart palpitations. Holter monitor revealed a 5% PVC burden, PSVT, and NSVT. Initiated metoprolol succinate for symptom management. Follow-up scheduled in three months with instructions to return if symptoms persist or worsen.</t>
  </si>
  <si>
    <t>Cardiology telehealth visit to review Holter results for bothersome palpitations. Testing revealed a symptomatic 5% PVC burden. Assessed with heart palpitations; prescribed metoprolol succinate daily for symptom management and scheduled a three-month cardiology follow-up.</t>
  </si>
  <si>
    <t>Telehealth cardiology follow-up for symptomatic palpitations to review Holter: sinus rhythm with 5% PVC burden plus brief PSVT and NSVT runs. Started metoprolol succinate nightly; advised follow-up in 3 months and call if symptoms persist.</t>
  </si>
  <si>
    <t>11893890312</t>
  </si>
  <si>
    <t>suki_740f1901-b69f-4a6b-9650-12cfad081472_patients_1856531_11893890312.pdf</t>
  </si>
  <si>
    <t>Urology visit for microhematuria and a 5mm renal stone. Obtained office urinalysis to guide further hematuria workup. Patient declined surgical intervention for the stone. Recommended monitoring stone burden with a repeat renal ultrasound in six months.</t>
  </si>
  <si>
    <t>Urology consult for microhematuria and a 5mm kidney stone. The patient declined surgical intervention for the stone; will monitor with an ultrasound in six months. Awaiting in-office urinalysis results to determine if a full hematuria workup is needed.</t>
  </si>
  <si>
    <t>Urology visit to establish care for trace microhematuria and 5 mm nonobstructing intrarenal stone on ultrasound. Office urinalysis sent; if ≥3 RBCs, proceed with hematuria workup. Reviewed ESWL vs ureteroscopy; patient declined intervention; repeat renal ultrasound in 6 months.</t>
  </si>
  <si>
    <t>11945686354</t>
  </si>
  <si>
    <t>suki_740f1901-b69f-4a6b-9650-12cfad081472_patients_1908864_11945686354.pdf</t>
  </si>
  <si>
    <t>Right eye femto-assisted phacoemulsification with posterior chamber lens implant and limbal relaxing incision performed for a nuclear cataract. The procedure was uncomplicated, resulting in postoperative pseudophakia. Discharge instructions include initiating hourly Pred Forte and antibiotic eye drops.</t>
  </si>
  <si>
    <t>Operative encounter for a right eye nuclear cataract. Underwent uncomplicated femtosecond laser-assisted phacoemulsification with intraocular lens implantation and a limbal relaxing incision. Discharged in good condition with instructions to begin hourly Pred Forte and antibiotic eye drops.</t>
  </si>
  <si>
    <t>Underwent ambulatory femtosecond-assisted phacoemulsification with posterior chamber IOL implantation and one limbal relaxing incision for visually significant right nuclear cataract, resulting pseudophakia. MAC topical anesthesia, minimal blood loss, no complications. Started Pred Forte and antibiotic drops hourly post-op.</t>
  </si>
  <si>
    <t>11980117195</t>
  </si>
  <si>
    <t>suki_740f1901-b69f-4a6b-9650-12cfad081472_patients_1970960_11980117195.pdf</t>
  </si>
  <si>
    <t>Telehealth follow-up for lung cancer screening results. CT revealed stable pulmonary nodules and new airway inflammation. Plan includes annual low-dose CT and referrals to urology for a renal lesion and cardiology for coronary artery calcification management.</t>
  </si>
  <si>
    <t>Telehealth follow-up to review lung cancer screening CT. Results showed stable lung nodules, new airway inflammation, coronary calcifications, and an incidental left kidney lesion. Plan includes annual low-dose CT chest and directed follow-up with primary care, urology, and cardiology.</t>
  </si>
  <si>
    <t>Telehealth visit to review lung cancer screening CT. CT showed resolved pulmonary nodule, stable nodules, airway inflammation, renal lesion, and coronary calcifications. Plan low dose chest CT in 1 year; PCP follow up and referrals to urology, nephrology, and cardiology.</t>
  </si>
  <si>
    <t>11979615872</t>
  </si>
  <si>
    <t>suki_740f1901-b69f-4a6b-9650-12cfad081472_patients_2195681_11979615872.pdf</t>
  </si>
  <si>
    <t>Elective right medial meniscectomy performed for medial meniscus tear, osteoarthritis, and knee joint cyst. No complications were reported. Postoperative plan includes leg elevation, wound care, crutches as needed, pain management, and a scheduled next-day follow-up.</t>
  </si>
  <si>
    <t>Postoperative report for an elective right knee medial meniscectomy treating a meniscus tear, osteoarthritis, and a joint cyst. The procedure was uncomplicated. Plan includes crutches, leg elevation, pain management, return precautions, and next-day follow-up.</t>
  </si>
  <si>
    <t>Postoperative note after right knee medial meniscectomy, arthroplasty approach, for meniscus tear with osteoarthritis and cyst. No complications; EBL 1 mL. Elevate leg, keep dressing clean/dry, use crutches and analgesics, seek care for swelling or pain; follow up tomorrow.</t>
  </si>
  <si>
    <t>11844543442</t>
  </si>
  <si>
    <t>suki_740f1901-b69f-4a6b-9650-12cfad081472_patients_2226602_11844543442.pdf</t>
  </si>
  <si>
    <t>Urology follow-up for prostate cancer on active surveillance and kidney stones. Noted rising PSA and a 7.5 mm right renal stone. Discussed management; patient elected stone observation. Plan includes repeat PSA and follow-up in six weeks with MRI.</t>
  </si>
  <si>
    <t>Urology visit for prostate cancer on active surveillance and an asymptomatic right kidney stone. Due to a rising PSA, a repeat PSA and MRI were ordered. Discussed stone management options; the patient opted for continued observation.</t>
  </si>
  <si>
    <t>Follow-up for rising PSA in known prostate cancer and possible recurrent nephrolithiasis. PSA 6.24; KUB suggested 7.5 mm right renal stone; urinalysis without hematuria. Repeat PSA ordered; MRI pending with 6‑week follow-up; stone options reviewed, observation chosen.</t>
  </si>
  <si>
    <t>12000639698</t>
  </si>
  <si>
    <t>suki_740f1901-b69f-4a6b-9650-12cfad081472_patients_2429391_12000639698.pdf</t>
  </si>
  <si>
    <t>Post-operative anesthesia recovery following ear canal laceration repair and wrist ganglion cyst excision under general anesthesia. Course was unremarkable with no complications. Patient was discharged home in stable condition with oxycodone and instructions to continue home omeprazole.</t>
  </si>
  <si>
    <t>Post-anesthesia evaluation following ambulatory surgery under general anesthesia. Given a history of MRSA, the patient received intravenous clindamycin. Recovery was stable with no anesthetic complications, well-controlled pain, and no nausea. Cleared for home discharge with PRN oxycodone and ibuprofen.</t>
  </si>
  <si>
    <t>PACU course after ambulatory surgery under general anesthesia was uncomplicated: awake, airway patent, pain tolerable, minimal nausea/vomiting. Given perioperative clindamycin; discharged home when criteria met with oxycodone for pain plus ibuprofen and ondansetron as needed.</t>
  </si>
  <si>
    <t>11969406212</t>
  </si>
  <si>
    <t>suki_740f1901-b69f-4a6b-9650-12cfad081472_patients_2585507_11969406212.pdf</t>
  </si>
  <si>
    <t>Nephrology visit for stable stage IV chronic kidney disease and proteinuria. Monitored secondary hyperparathyroidism and asymptomatic Enterococcus bacteriuria. Plan includes transplant evaluation referral and vascular clearance for dialysis initiation. Instructed to avoid NSAIDs and maintain current management.</t>
  </si>
  <si>
    <t>Nephrology follow-up for stable CKD stage IV with functional right AV fistula. Evaluated secondary hyperparathyroidism, euvolemia on Lasix, and asymptomatic bacteriuria. Held fenofibrate. Ordered comprehensive labs and referred for vascular follow-up and kidney transplant evaluation.</t>
  </si>
  <si>
    <t>Nephrology follow-up for CKD stage IV/V with AV fistula; eGFR ~13 with persistent proteinuria. Asymptomatic Enterococcus bacteriuria—repeat UA/culture ordered and urology follow-up advised. Ordered CMP, urine protein/microalbumin, PTH/phosphorus/vitamin D; referred for transplant evaluation; avoid NSAIDs; follow up in 3 months.</t>
  </si>
  <si>
    <t>11991267393</t>
  </si>
  <si>
    <t>suki_740f1901-b69f-4a6b-9650-12cfad081472_patients_6741037_11991267393.pdf</t>
  </si>
  <si>
    <t>Emergency visit for abdominal pain, nausea, and diarrhea following recent antibiotic use. Formal assessments include abdominal pain, N&amp;V, and diarrhea. Managed with IV fluids, antiemetics, and analgesia. Labs and CT imaging ordered to evaluate for diverticulitis and C. difficile.</t>
  </si>
  <si>
    <t>ED visit for acute lower abdominal pain, nausea, vomiting, and diarrhea in the setting of recent cefpodoxime use. Exam showed bilateral lower quadrant tenderness. Administered IV fluids, Zofran, and Tylenol. Pending labs and CT abdomen and pelvis.</t>
  </si>
  <si>
    <t>ED visit for nausea/vomiting, diarrhea, and lower abdominal pain while on cefpodoxime for UTI; bilateral lower-quadrant tenderness. Treated with IV fluids, ondansetron, acetaminophen; labs and CT abdomen/pelvis ordered. EKG sinus rhythm with first-degree AV block; CT/labs pending.</t>
  </si>
  <si>
    <t>11621189528</t>
  </si>
  <si>
    <t>suki_740f1901-b69f-4a6b-9650-12cfad081472_patients_9744846_11621189528.pdf</t>
  </si>
  <si>
    <t>Oncology telehealth follow-up for Hodgkin's lymphoma and abnormal labs. Lymphoma remains stable with no recurrence. A mildly decreased globulin level was deemed clinically insignificant. Continued current management and ordered repeat laboratory monitoring with follow-up in three months.</t>
  </si>
  <si>
    <t>Oncology tele-visit for stable classical Hodgkin lymphoma to discuss lab results. Reassured that an isolated, mildly decreased globulin level is clinically insignificant and likely nutritional secondary to recent weight loss. Ordered CBC and CMP for three-month follow-up.</t>
  </si>
  <si>
    <t>Oncology tele-follow-up for classical Hodgkin lymphoma to review labs after weight loss. CBC/CMP reassuring with isolated mildly low globulin 2.3. No evidence recurrence; no treatment changes. Continue routine monitoring; repeat CBC/CMP and follow-up in 3 months; call for symptoms.</t>
  </si>
  <si>
    <t>12020097002</t>
  </si>
  <si>
    <t>suki_740f1901-b69f-4a6b-9650-12cfad081472_patients_10610202_12020097002.pdf</t>
  </si>
  <si>
    <t>Hospitalization for suspected arm cellulitis, ultimately diagnosed as allergic contact dermatitis and RSV. Discontinued antibiotics; initiated topical triamcinolone and cetirizine. Addressed apixaban non-compliance. Discharged home with follow-up in Dermatology and primary care for ongoing management.</t>
  </si>
  <si>
    <t>Admitted for suspected left arm cellulitis following a puncture wound, diagnosed instead as allergic contact dermatitis. Antibiotics were discontinued. Incidentally positive for RSV. Discharged on topical triamcinolone, cetirizine, and dextromethorphan-guaifenesin, with dermatology and PCP follow-up.</t>
  </si>
  <si>
    <t>Admitted for arm rash and streaking, initially cellulitis despite Bactrim. Afebrile. Infectious Disease stopped antibiotics; dermatology diagnosed allergic contact dermatitis, improved on triamcinolone, Vaseline, cetirizine. RSV cough treated with Robitussin; apixaban underdosing noted; amlodipine stopped; discharged home with dermatology/PCP follow-up.</t>
  </si>
  <si>
    <t>11707263274</t>
  </si>
  <si>
    <t>suki_740f1901-b69f-4a6b-9650-12cfad081472_patients_10659712_11707263274.pdf</t>
  </si>
  <si>
    <t>Nephrology follow-up for stage IV CKD. Discontinued dapagliflozin due to nausea. Management focuses on hyperkalemia with Veltassa and acidosis with sodium bicarbonate. Improved hemoglobin of 12.9 precludes Aranesp today. Ordered metabolic labs and scheduled follow-up in six weeks.</t>
  </si>
  <si>
    <t>Nephrology follow-up for stage IV chronic kidney disease. Patient is euvolemic with stable creatinine. Discontinued dapagliflozin due to nausea. Continued Veltassa for hyperkalemia and sodium bicarbonate for metabolic acidosis. Held Aranesp given improved hemoglobin. Ordered labs and six-week follow-up.</t>
  </si>
  <si>
    <t>Nephrology follow-up for CKD stage 4 from obstructive uropathy/neurogenic bladder and diabetic nephropathy. Euvolemic with stable creatinine; hyperkalemia and acidosis managed with continued Veltassa, sodium bicarbonate, and magnesium citrate. Stopped dapagliflozin for nausea/vomiting; ordered CMP, magnesium, phosphorus; follow-up 6 weeks.</t>
  </si>
  <si>
    <t>11936498154</t>
  </si>
  <si>
    <t>suki_740f1901-b69f-4a6b-9650-12cfad081472_patients_11018831_11936498154.pdf</t>
  </si>
  <si>
    <t>Orthopedic visit for a thumb injury. Radiographs confirmed a closed fracture of the proximal phalanx base. Management involves a thumb spica brace for three weeks and strict hand activity restrictions. Follow-up is scheduled for re-evaluation and eventual sports clearance.</t>
  </si>
  <si>
    <t>Orthopedics visit for a jammed left thumb. Radiographs confirm a closed fracture of the thumb phalanx base requiring non-surgical management. Prescribed a thumb spica brace for three weeks, implemented hand-related sports restrictions, and scheduled orthopedics follow-up.</t>
  </si>
  <si>
    <t>Orthopedics visit for jammed left thumb with swelling and bruising; radiographs confirmed closed proximal phalanx base fracture. Managed with thumb spica brace for 3 weeks, avoid hand sports, allow running, recheck in 3 weeks; expect basketball return about 5 weeks.</t>
  </si>
  <si>
    <t>11947284899</t>
  </si>
  <si>
    <t>suki_740f1901-b69f-4a6b-9650-12cfad081472_patients_11557903_11947284899.pdf</t>
  </si>
  <si>
    <t>Well-child visit for patient with speech and motor delays. Refilled multivitamins and albuterol. Managed atopic dermatitis and a suspected fungal rash with triamcinolone refills and a trial of clotrimazole. Physical exam was normal, and school forms were completed.</t>
  </si>
  <si>
    <t>Well child visit evaluating a left leg rash. Blood pressure and sensory screenings were deferred due to behavior. Assessed with extensor eczema and a possible posterior fungal infection. Refilled albuterol, multivitamins, and triamcinolone. Prescribed clotrimazole for the posterior rash.</t>
  </si>
  <si>
    <t>Well-child visit for multivitamin request and recurrent left leg/ear rash. Exam showed eczematous extensor lesions with circular raised-border posterior lesion; steroid nonresponse. Refilled triamcinolone, started clotrimazole trial, refilled albuterol and multivitamin; flu vaccine declined; follow-up in 1 year.</t>
  </si>
  <si>
    <t>11991907374</t>
  </si>
  <si>
    <t>suki_740f1901-b69f-4a6b-9650-12cfad081472_patients_17419204_11991907374.pdf</t>
  </si>
  <si>
    <t>Discharge summary for a term newborn following uncomplicated vaginal delivery. Single live birth with normal transition. Administered Hepatitis B vaccine, Vitamin K, and erythromycin. Passed hearing and CCHD screenings; metabolic results pending. Pediatric follow-up within two days.</t>
  </si>
  <si>
    <t>Discharge summary for a healthy full-term infant following an uncomplicated vaginal delivery. The newborn transitioned well, receiving routine prophylaxis, Hepatitis B vaccine, and Beyfortus. Passed cardiac and hearing screens. Discharged with pending metabolic and G6PD labs for outpatient follow-up.</t>
  </si>
  <si>
    <t>Term infant discharged after vaginal delivery; feeding well with 5% weight loss. Bilirubin 7.4 with no neurotoxicity risks; passed CCHD and hearing. Given vitamin K, erythromycin, hepatitis B; Beyfortus planned. NBS and G6PD pending; pediatric follow up within 2 days.</t>
  </si>
  <si>
    <t>47074395944</t>
  </si>
  <si>
    <t>2a553b27-71b7-43d6-abc2-496d88cf045f</t>
  </si>
  <si>
    <t>suki_2a553b27-71b7-43d6-abc2-496d88cf045f_patients_3400101_47074395944.pdf</t>
  </si>
  <si>
    <t>ED visit for flank pain and chills. Assessments include right ureteral calculus, pyelonephritis, and sepsis. Received IV antibiotics and underwent right ureteral stent placement. Admitted to the hospitalist service with urology follow-up for definitive stone surgery.</t>
  </si>
  <si>
    <t>ED visit for right flank pain and chills. CT confirmed a 4mm right ureteral stone causing hydronephrosis. Hospitalist admitting for sepsis, right pyelonephritis, and ureteral calculus. Treated with IV antibiotics and fentanyl. Urology consulted for stent and lithotripsy.</t>
  </si>
  <si>
    <t>ED visit for flank-to-groin pain and chills. UA and CT showed distal ureteral stone with hydronephrosis and obstructive pyelonephritis/sepsis. Given IV antibiotics and analgesia, started sepsis protocol, urology consulted for stent/lithotripsy, admitted; CT recommended pelvic ultrasound for endometrial abnormality.</t>
  </si>
  <si>
    <t>47080987134</t>
  </si>
  <si>
    <t>suki_2a553b27-71b7-43d6-abc2-496d88cf045f_patients_4072672_47080987134.pdf</t>
  </si>
  <si>
    <t>Cardiology follow-up for asymptomatic atrial flutter with 4:1 conduction. Plan includes an echocardiogram and elective direct current cardioversion once therapeutic on anticoagulation for four weeks. Moderate aortic stenosis remains asymptomatic; coronary artery disease and hypertension are currently stable.</t>
  </si>
  <si>
    <t>Cardiology follow-up for a patient without active cardiovascular symptoms. Addressed asymptomatic aortic valve stenosis and atrial flutter. Ordered an echocardiogram and planned an elective DCCV for atrial flutter, pending four weeks of therapeutic INR on warfarin.</t>
  </si>
  <si>
    <t>Cardiology follow-up for asymptomatic atrial flutter and moderate aortic stenosis. ECG showed atrial flutter with controlled rate. Ordered repeat echocardiogram; plan elective cardioversion once INR therapeutic for 4 weeks. Continue CAD/HTN/lipid management; follow up post-cardioversion and in 6 months.</t>
  </si>
  <si>
    <t>45976810413</t>
  </si>
  <si>
    <t>suki_2a553b27-71b7-43d6-abc2-496d88cf045f_patients_4376941_45976810413.pdf</t>
  </si>
  <si>
    <t>Hospitalization for benzodiazepine withdrawal with delirium and TIA. Neurology was consulted; diagnostic workup including MRI brain and echocardiogram was unremarkable. Resumed baseline alprazolam for slow, physician-led outpatient weaning. Scheduled follow-up with primary care and urogynecology.</t>
  </si>
  <si>
    <t>Hospital admission for right-sided weakness and aphasia concerning for TIA. Neuroimaging and echocardiogram were negative. Symptoms resolved after diazepam administration. Diagnosed with benzodiazepine withdrawal delirium. Discharged to resume baseline alprazolam with a planned supervised outpatient taper.</t>
  </si>
  <si>
    <t>Admitted for presyncope, palpitations, and aphasia with right-sided weakness during alprazolam taper. Diagnosed benzodiazepine withdrawal with delirium versus TIA; neurology consulted. CT and MRI brain negative; bubble-study echocardiogram EF 63%. Resumed alprazolam, discharged home with PCP and psychiatry follow-up.</t>
  </si>
  <si>
    <t>45991432756</t>
  </si>
  <si>
    <t>suki_2a553b27-71b7-43d6-abc2-496d88cf045f_patients_4376941_45991432756.pdf</t>
  </si>
  <si>
    <t>Hospital admission for near syncope and focal neurological deficits. Evaluated for benzodiazepine withdrawal and transient ischemic attack. Restarted home benzodiazepines and initiated a workup including brain MRI, echocardiogram, carotid dopplers, and EEG to rule out seizures.</t>
  </si>
  <si>
    <t>Admitted for near syncope, focal weakness, and delirium. Assessed for benzodiazepine withdrawal and suspected TIA versus seizure. Resumed baseline alprazolam. Ordered telemetry, echocardiogram, brain MRI, and EEG to evaluate ischemic or epileptic etiologies, pending neurology consultation.</t>
  </si>
  <si>
    <t>Admitted for dizziness/near-syncope with palpitations and transient right-sided weakness/word-finding difficulty after tapering alprazolam. Episodes improved with benzodiazepines. Suspected benzodiazepine withdrawal vs TIA/seizure; resumed alprazolam and ordered telemetry, MRI brain, echocardiogram, EEG, and neurology consult; CT head showed no acute findings.</t>
  </si>
  <si>
    <t>47480780686</t>
  </si>
  <si>
    <t>suki_2a553b27-71b7-43d6-abc2-496d88cf045f_patients_9858112_47480780686.pdf</t>
  </si>
  <si>
    <t>Hospitalized for postoperative low back pain and bilateral hip weakness following lumbar fusion. Managed serosanguinous wound discharge and hyponatremia. Ortho-Spine consulted for surgical evaluation. Plan involves aggressive pain management, resuming Plavix and Mounjaro, and monitoring for infection.</t>
  </si>
  <si>
    <t>Admitted for acute leg weakness and worsening pain following recent lumbar fusion. Assessments include acute postoperative pain, anemia from incisional bleeding, and debility. Ortho-Spine and neurosurgery consulted for evaluation and potential MRI. Initiated pain management and ordered PT/OT.</t>
  </si>
  <si>
    <t>Admitted for worsening postoperative lumbar pain, bilateral hip weakness, and serosanguineous incision drainage after fusion. Afebrile without leukocytosis; sodium 132 with mild anemia and thrombocytopenia. Managed with analgesia, gabapentin, CBC monitoring, ortho-spine consult, and PT/OT.</t>
  </si>
  <si>
    <t>47459423487</t>
  </si>
  <si>
    <t>suki_2a553b27-71b7-43d6-abc2-496d88cf045f_patients_9959265_47459423487.pdf</t>
  </si>
  <si>
    <t>Inpatient encounter for cirrhosis and acute-on-chronic kidney injury, improving following albumin challenge. Anemia stabilized after blood transfusion. Management includes repeat paracentesis, restarting Eliquis for mesenteric vein thrombosis, and outpatient follow-up for a tender central abdominal subcutaneous mass.</t>
  </si>
  <si>
    <t>Inpatient progress note for cirrhosis, ascites, acute-on-chronic kidney injury, and anemia. Managed with recent paracentesis and albumin challenge. Plan includes repeat US-guided paracentesis prior to discharge, restarting Eliquis for thrombosis history, and disposition to skilled nursing for generalized weakness.</t>
  </si>
  <si>
    <t>Hospitalized for cirrhosis with ascites, acute on chronic kidney injury, hyponatremia, and anemia from bleeding gastric antral vascular ectasia and portal hypertensive gastropathy. Underwent paracentesis with albumin, transfused two units, EGD achieved hemostasis; plan repeat paracentesis and restart Eliquis afterward.</t>
  </si>
  <si>
    <t>47036667485</t>
  </si>
  <si>
    <t>suki_2a553b27-71b7-43d6-abc2-496d88cf045f_patients_13773605_47036667485.pdf</t>
  </si>
  <si>
    <t>Right sacroiliac joint injection performed under fluoroscopic guidance for sacroiliitis. Injected Kenalog and Lidocaine into the joint capsule to address severe pain. Procedure was uncomplicated with significant immediate relief, reducing pain from nine to zero. Patient discharged stable.</t>
  </si>
  <si>
    <t>Operative visit for sacroiliitis. A right diagnostic sacroiliac joint injection was performed under fluoroscopic guidance using lidocaine and triamcinolone. The procedure was uncomplicated with confirmed intra-articular spread. The patient reported complete pain relief prior to transfer to recovery.</t>
  </si>
  <si>
    <t>Operative visit for sacroiliitis: underwent right diagnostic sacroiliac joint injection under fluoroscopic guidance. Local anesthesia without sedation; contrast confirmed intra-articular placement, then lidocaine and triamcinolone injected. No complications, drains, or specimens; minimal blood loss; pain 9→0 postprocedure.</t>
  </si>
  <si>
    <t>47059633644</t>
  </si>
  <si>
    <t>suki_2a553b27-71b7-43d6-abc2-496d88cf045f_patients_17732503_47059633644.pdf</t>
  </si>
  <si>
    <t>Evaluation for chronic choking and food impaction. Diagnosed chronic GERD and choking. Initiated an omeprazole trial and lifestyle modifications. Ordered a diagnostic EGD and modified barium swallow study to evaluate for structural or functional causes of dysphagia.</t>
  </si>
  <si>
    <t>Consultation for chronic choking and GERD with prior LAP-BAND surgery. Addressed chronic GERD, LAP-BAND status, and choking. Initiated a 14-day omeprazole trial and ordered a modified barium swallow study and diagnostic EGD for further evaluation.</t>
  </si>
  <si>
    <t>Seen for months of choking/coughing with dry foods and intermittent reflux after prior lap band. Assessed chronic GERD and choking without dysphagia. Started PPI, counseled GERD lifestyle measures, and ordered diagnostic EGD plus modified barium swallow with speech therapy follow-up.</t>
  </si>
  <si>
    <t>47175851920</t>
  </si>
  <si>
    <t>suki_2a553b27-71b7-43d6-abc2-496d88cf045f_patients_18663387_47175851920.pdf</t>
  </si>
  <si>
    <t>Emergency evaluation for recurrent seizures and post-ictal confusion following medication noncompliance. Brain imaging showed no acute changes. Treatment included IV Keppra and fluid resuscitation. Discharged home to resume medications and follow up with neurology and primary care.</t>
  </si>
  <si>
    <t>ED visit for recurrent seizures and post-ictal confusion secondary to medical noncompliance. Brain MRI and CT were negative for acute pathology. The patient received intravenous Keppra and was discharged home with neurology and primary care follow-up.</t>
  </si>
  <si>
    <t>Seen in ED for confusion and imbalance after two days off Keppra and levothyroxine due to cost; suspected seizure with postictal confusion. CT and MRI negative; TSH low. Given IV Keppra and fluids; discharged with neurology and PCP follow up.</t>
  </si>
  <si>
    <t>46899341223</t>
  </si>
  <si>
    <t>suki_2a553b27-71b7-43d6-abc2-496d88cf045f_patients_18689950_46899341223.pdf</t>
  </si>
  <si>
    <t>Emergency visit for ground-level fall and hypotension following weakness. Diagnosed with UTI, confusion, and scalp laceration requiring staples. Treatment included IV ceftriaxone and saline bolus. Admitted for observation and management of elevated troponin and chronic kidney disease.</t>
  </si>
  <si>
    <t>ED visit for ground-level fall, confusion, and head strike. Scalp laceration repaired with staples. Workup revealed UTI, elevated troponin, and supratherapeutic INR; head CT was negative. Administered ceftriaxone and admitted to medical observation for ongoing management.</t>
  </si>
  <si>
    <t>ED visit after fall with head strike and worsening confusion/somnolence while on warfarin; scalp laceration stapled. Head CT negative. Urinalysis with pyuria/bacteriuria; treated with IV fluids and ceftriaxone. Admitted to observation for UTI, CKD, troponin elevation and INR monitoring.</t>
  </si>
  <si>
    <t>47195243121</t>
  </si>
  <si>
    <t>suki_2a553b27-71b7-43d6-abc2-496d88cf045f_patients_18935758_47195243121.pdf</t>
  </si>
  <si>
    <t>Operative visit for severe obstructive sleep apnea and refractory nasal obstruction. Performed Inspire V hypoglossal nerve stimulator placement, septoplasty, and bilateral inferior turbinate reduction. Stents were placed. Discharge medications include Keflex and Percocet. Follow-up scheduled for stent removal.</t>
  </si>
  <si>
    <t>Operative visit for severe CPAP-intolerant obstructive sleep apnea and refractory nasal obstruction. Underwent Inspire hypoglossal nerve stimulator placement, septoplasty, and bilateral inferior turbinate reduction. Discharged without complications on Keflex and Percocet, with outpatient follow-up for stent removal.</t>
  </si>
  <si>
    <t>For OSA after CPAP failure and DISE without circumferential collapse, underwent Inspire stimulator implantation plus septoplasty and bilateral inferior turbinate reduction for nasal obstruction. Uncomplicated; EBL 15 mL. Discharged with cephalexin and PRN opioid; follow-up 3–4 days for stent removal.</t>
  </si>
  <si>
    <t>47387972492</t>
  </si>
  <si>
    <t>suki_2a553b27-71b7-43d6-abc2-496d88cf045f_patients_19155934_47387972492.pdf</t>
  </si>
  <si>
    <t>Urology follow-up for a left ureteral stone with associated hydronephrosis. Initiated trial of passage with tamsulosin. Ordered follow-up renal ultrasound and urinalysis to monitor for stone passage. Surgical intervention planned if hydronephrosis persists or symptoms worsen.</t>
  </si>
  <si>
    <t>Urology follow-up for a 4 mm left ureteral stone with hydronephrosis. The patient elected to continue a trial of passage. Prescribed tamsulosin and ordered a repeat urinalysis and renal ultrasound in two to three weeks to assess surgical necessity.</t>
  </si>
  <si>
    <t>Follow-up after ER evaluation for left ureteral 4-mm stone with hydroureteronephrosis and leukocytosis. Now minimal pain, afebrile; UA trace blood, nitrite/leukocyte negative. Continue tamsulosin medical expulsive therapy; renal/bladder ultrasound in 2–3 weeks, ER for fever, ureteroscopy if persistent.</t>
  </si>
  <si>
    <t>47289359695</t>
  </si>
  <si>
    <t>suki_2a553b27-71b7-43d6-abc2-496d88cf045f_patients_28514422_47289359695.pdf</t>
  </si>
  <si>
    <t>Underwent left long and ring finger PIP fusions with Acutrak screws and a long finger Fowler tenotomy for rheumatoid arthritis deformities. Plan includes custom splinting for four weeks, PIP joint immobilization, and repeat follow-up imaging.</t>
  </si>
  <si>
    <t>Operative visit for painful left digit dislocations secondary to rheumatoid arthritis. Underwent long and ring finger proximal interphalangeal fusions with screws, and a long finger distal extensor release. Postoperative plan includes custom splinting and repeat x-rays at six weeks.</t>
  </si>
  <si>
    <t>Surgery for rheumatoid arthritis–related PIP deformity/pain and long-finger DIP extensor tightness: left long and ring finger PIP fusions with Acutrak screws plus Fowler tenotomy. Postop splint; no PIP motion, allow DIP/MP; x-ray and therapy follow-up 10–14 days and 6 weeks.</t>
  </si>
  <si>
    <t>47115056869</t>
  </si>
  <si>
    <t>suki_2a553b27-71b7-43d6-abc2-496d88cf045f_patients_44180815_47115056869.pdf</t>
  </si>
  <si>
    <t>Robotic right partial nephrectomy performed for a 7cm right upper pole mass consistent with cystic renal cell carcinoma. Intraoperative ultrasound guided the single-port resection. No complications occurred; estimated blood loss was 100cc. Patient tolerated the procedure well.</t>
  </si>
  <si>
    <t>Urology operative report for a right renal mass. A robotic right partial nephrectomy was performed. Intraoperative findings revealed a 7 cm upper pole tumor consistent with cystic renal cell carcinoma. The mass was successfully excised without complications.</t>
  </si>
  <si>
    <t>Underwent robotic right partial nephrectomy with intraoperative ultrasound for right renal mass. Right upper-pole ~7 cm tumor excised with renal artery clamping, warm ischemia 32 minutes, hemostasis achieved. EBL 100 mL, no drains, specimen sent, no complications.</t>
  </si>
  <si>
    <t>47132759869</t>
  </si>
  <si>
    <t>suki_2a553b27-71b7-43d6-abc2-496d88cf045f_patients_45169058_47132759869.pdf</t>
  </si>
  <si>
    <t>Inpatient genetic counseling for dilated cardiomyopathy and new-onset heart failure. Discussed rapid genome sequencing to investigate etiology despite a previous MYBPC3 variant. Obtained informed consent for testing; results pending in 7-10 days for follow-up.</t>
  </si>
  <si>
    <t>Genetics visit for dilated cardiomyopathy, atrial fibrillation, and new-onset heart failure despite a previously identified MYBPC3 variant. Discussed rapid genome sequencing to determine underlying etiology. The patient consented to testing and opted into secondary findings. Awaiting proband analysis results.</t>
  </si>
  <si>
    <t>Genetics consulted for dilated cardiomyopathy, atrial fibrillation with strokes, and heart failure; prior testing found pathogenic MYBPC3 variant. Counseled and obtained consent for rapid genome sequencing with ACMG secondary findings; proband-only testing, results in 7–10 days, family follow-up.</t>
  </si>
  <si>
    <t>46137595827</t>
  </si>
  <si>
    <t>suki_2a553b27-71b7-43d6-abc2-496d88cf045f_patients_57128032_46137595827.pdf</t>
  </si>
  <si>
    <t>Hospitalization for atrial flutter with RVR and acute pulmonary emboli. Successfully cardioverted to sinus rhythm. Also managed a necrotizing left foot ulcer with suspected osteomyelitis. Discharged on apixaban and doxycycline with cardiology and outpatient wound care follow-up.</t>
  </si>
  <si>
    <t>Admission for palpitations revealing atrial tachycardia and bilateral pulmonary emboli. Evaluated for a necrotic left foot ulcer with Strep agalactiae and possible osteomyelitis. Discharged on apixaban and doxycycline with planned outpatient cardiology and primary care follow-up.</t>
  </si>
  <si>
    <t>Admitted for palpitations/tachycardia; ECG showed atrial tachycardia with RVR and new RBBB. CTA chest revealed small nonocclusive PE without strain; heparin transitioned to apixaban. Left foot ulcer grew strep agalactiae with 4th-toe osteomyelitis; discharged on doxycycline, cardiology and ortho follow-up.</t>
  </si>
  <si>
    <t>46918435155</t>
  </si>
  <si>
    <t>suki_2a553b27-71b7-43d6-abc2-496d88cf045f_patients_69959722_46918435155.pdf</t>
  </si>
  <si>
    <t>Emergency visit for suspected VP shunt malfunction presenting as intractable headache and nausea. Assessments were headache and stable shunt status. Managed with IV fluids, hydromorphone, and dexamethasone. Discharged following symptom improvement with scheduled neurosurgery follow-up.</t>
  </si>
  <si>
    <t>ED visit for intractable headaches evaluating VP shunt malfunction. Workup was unremarkable with intact shunt on recent imaging. Symptoms improved via IV pain management protocol. Discharged stable with assessments of headache and VP shunt status; neurosurgery follow-up arranged.</t>
  </si>
  <si>
    <t>ED visit for two-week headache with nausea/dehydration and concern for VP shunt malfunction; prior shunt series reportedly intact. Neuro exam nonfocal; labs unremarkable except mild anemia and low ANC. Given IV fluids, hydromorphone, ketorolac, antiemetics/steroid; improved, discharged with neurosurgery follow-up.</t>
  </si>
  <si>
    <t>47051278000</t>
  </si>
  <si>
    <t>suki_2a553b27-71b7-43d6-abc2-496d88cf045f_patients_92464317_47051278000.pdf</t>
  </si>
  <si>
    <t>Inpatient encounter for AFib with RVR and decompensated HFrEF, requiring PCU amiodarone infusion. AKI is improving with Entresto held. GI consulted for RUQ pain and cholestatic labs; MRCP ordered. Prednisone initiated for an acute gout flare.</t>
  </si>
  <si>
    <t>Upgraded to PCU for Afib with RVR requiring amiodarone infusion. Admission RUQ pain resolved, but MRCP ordered for cholestasis and pantoprazole started for suspected melena. AKI improving; heart failure medications held. Prednisone initiated for knee gout flare.</t>
  </si>
  <si>
    <t>RUQ pain improved; melena concern treated with PPI. CT pericholecystic fluid; RUQ ultrasound without cholecystitis. GI consulted, MRCP ordered, EGD considered. AFib RVR on amiodarone infusion with apixaban; AKI managed with fluids, holding entresto and diuretics; prednisone for knee effusions.</t>
  </si>
  <si>
    <t>47098736381</t>
  </si>
  <si>
    <t>suki_2a553b27-71b7-43d6-abc2-496d88cf045f_patients_92464317_47098736381.pdf</t>
  </si>
  <si>
    <t>Inpatient nephrology follow-up for non-oliguric acute kidney injury secondary to shock-induced acute tubular necrosis and contrast exposure. Creatinine improved from 4.1 to 3.5 with adequate urine output. Management includes continuing supportive care without requirement for renal replacement therapy.</t>
  </si>
  <si>
    <t>Nephrology progress note evaluating non-oliguric AKI secondary to ATN from shock and prior contrast exposure. Renal function is improving, with creatinine down to 3.5 and adequate urine output. Renal replacement therapy is unnecessary; continue current supportive care.</t>
  </si>
  <si>
    <t>Nephrology follow-up for nonoliguric AKI from ATN after shock and contrast exposure. Patient asymptomatic and hemodynamically stable on room air. Creatinine improved from 4.1 to 3.5 with adequate urine output; no dialysis needed, continue supportive care.</t>
  </si>
  <si>
    <t>47400669734</t>
  </si>
  <si>
    <t>suki_2a553b27-71b7-43d6-abc2-496d88cf045f_patients_108649029_47400669734.pdf</t>
  </si>
  <si>
    <t>Postoperative recovery following right eye surgery under general anesthesia. Vitals remained stable with minimal pain and no drainage from the eye shield. After medication reconciliation, met discharge criteria and was released home with a responsible party and discharge instructions.</t>
  </si>
  <si>
    <t>Post-operative PACU note following right eye surgery under general anesthesia. The patient arrived with an oral airway that was quickly removed. Recovery was unremarkable; she remained hemodynamically stable, alert, and pain-free before being discharged home with family.</t>
  </si>
  <si>
    <t>Postoperative PACU recovery after right eye surgery under general anesthesia. Airway support removed; respirations smooth with clear breath sounds and stable monitored sinus rhythm. Tolerated oral water, minimal pain/nausea, no wound drainage, and discharged home with instructions and escort.</t>
  </si>
  <si>
    <t>5737798260</t>
  </si>
  <si>
    <t>b3221ea1-3c9f-4f60-b014-58ae5c90cbf9</t>
  </si>
  <si>
    <t>suki_b3221ea1-3c9f-4f60-b014-58ae5c90cbf9_patients_91991_5737798260.pdf</t>
  </si>
  <si>
    <t>Urgent care visit for metastatic renal cell carcinoma presenting with diarrhea and acute kidney injury from dehydration. Managed for cabozantinib-induced diarrhea and improving AKI. Plan includes observation admission, stool studies, IV fluids, and scheduled Lomotil.</t>
  </si>
  <si>
    <t>Urgent care visit for increased diarrhea and elevated creatinine in a patient with metastatic renal cell carcinoma. Diagnosed with cabozantinib-induced diarrhea and dehydration-related acute kidney injury. Admitted to observation for IV fluids, stool studies, and scheduled Lomotil.</t>
  </si>
  <si>
    <t>Evaluated for AKI and increased diarrhea on cabozantinib for metastatic renal cell carcinoma after nephrectomy. Creatinine 1.6 and improving; renal ultrasound showed no obstruction and CT lacked colitis. Stool studies sent, Lomotil scheduled, IV normal saline, admitted to observation.</t>
  </si>
  <si>
    <t>5683770598</t>
  </si>
  <si>
    <t>suki_b3221ea1-3c9f-4f60-b014-58ae5c90cbf9_patients_8359316_5683770598.pdf</t>
  </si>
  <si>
    <t>Postoperative recovery in the PACU following surgery. Patient met Phase 1 discharge criteria with well-controlled pain and no invasive monitoring required. Allergies to Demerol and codeine noted. Patient remained stable and was cleared for floor transfer.</t>
  </si>
  <si>
    <t>Routine post-operative PACU recovery with no invasive monitored lines required. Nursing assessments addressed perioperative pain, knowledge deficits, and fall risk. All outcome goals were successfully met, achieving adequate pain control. Demerol and codeine allergies documented.</t>
  </si>
  <si>
    <t>Postoperative PACU recovery: no monitored invasive lines. Allergies to meperidine and codeine noted. Pain assessed and controlled; readiness to learn assessed with physiologic education; fall-risk precautions applied with goals met. Family updated. Patient met phase I criteria and departed PACU.</t>
  </si>
  <si>
    <t>5733987655</t>
  </si>
  <si>
    <t>suki_b3221ea1-3c9f-4f60-b014-58ae5c90cbf9_patients_8747765_5733987655.pdf</t>
  </si>
  <si>
    <t>Hospital admission for epigastric pain following EUS and FNA of a pancreatic cyst. Suspected post-procedure pancreatitis with mild peripancreatic fat stranding on imaging. Plan includes observation, NPO status, aggressive intravenous fluids, and repeat imaging if symptoms persist.</t>
  </si>
  <si>
    <t>Admitted to observation for epigastric pain and suspected pancreatitis following a recent EUS with FNA of a pancreatic cyst. Ordered NPO and IV Lactated Ringers. Outside CT will be reviewed, with repeat imaging planned if unimproved.</t>
  </si>
  <si>
    <t>Admitted for epigastric pain radiating to flank after EUS/FNA of pancreatic head cyst; outside CT noted mild peripancreatic/proximal duodenal fat stranding with normal labs/lipase. Treated as pancreatitis: NPO, lactated Ringers, IV opioids/antiemetics, upload outside imaging, repeat imaging if no improvement.</t>
  </si>
  <si>
    <t>5717028662</t>
  </si>
  <si>
    <t>suki_b3221ea1-3c9f-4f60-b014-58ae5c90cbf9_patients_8902180_5717028662.pdf</t>
  </si>
  <si>
    <t>Surgical consultation for right triple negative breast cancer. Plan involves neoadjuvant systemic therapy followed by SAVI guided lumpectomy and sentinel node biopsy, pending genetic testing results. Maintain glycemic control with hemoglobin A1c under 8.0 for surgical clearance.</t>
  </si>
  <si>
    <t>Surgical oncology consult for newly diagnosed right triple negative invasive ductal carcinoma. Plan includes right lumpectomy with sentinel node biopsy, pending genetic results, and medical oncology evaluation for neoadjuvant therapy. Preoperative medical clearance requires maintaining A1c below 8.</t>
  </si>
  <si>
    <t>Consult for right triple-negative breast carcinoma cT2N0 with follicular lymphoma history. Patient chose SAVI-guided lumpectomy with sentinel node biopsy unless genetics positive, then mastectomy. Plan: obtain outside imaging and pathology, coordinate neoadjuvant chemo with possible immunotherapy, keep A1c under 8 preoperatively.</t>
  </si>
  <si>
    <t>5762740739</t>
  </si>
  <si>
    <t>suki_b3221ea1-3c9f-4f60-b014-58ae5c90cbf9_patients_9462144_5762740739.pdf</t>
  </si>
  <si>
    <t>Emergency department visit for worsening dizziness and tachycardia. Significant findings include acute anemia and pancytopenia with guaiac-positive stool. Admitted for hematology/oncology consultation, diagnostic workup, and possible blood transfusion to manage symptomatic anemia and suspected gastrointestinal bleeding.</t>
  </si>
  <si>
    <t>ED visit for dizziness and easy bruising. Assessed for acute anemia after labs revealed hemoglobin of 8.0, pancytopenia with abnormal cells, and guaiac-positive stool. Negative head CT. Admitted to inpatient medicine for a hematology consultation.</t>
  </si>
  <si>
    <t>ED visit for 5 days of dizziness with tachycardia, palpitations, and dyspnea. Labs showed macrocytic anemia and leukopenia (Hgb 8, WBC 2.7) with guaiac positive stool; CT head negative. Given IV fluids; admitted for hematology evaluation and possible transfusion.</t>
  </si>
  <si>
    <t>5733862527</t>
  </si>
  <si>
    <t>suki_b3221ea1-3c9f-4f60-b014-58ae5c90cbf9_patients_11013873_5733862527.pdf</t>
  </si>
  <si>
    <t>Postoperative PACU recovery following surgery. Clinical care focused on pain management and safety protocols for fall risk. A new amoxicillin allergy was documented. Patient met all Phase 1 criteria and was transferred to the floor stable.</t>
  </si>
  <si>
    <t>Post-operative PACU admission for routine recovery. The patient required one monitored line. Nursing interventions actively addressed fall risk, knowledge deficits, and pain control, with all perioperative goals successfully met. Notable allergies include latex, amoxicillin, gabapentin, and morphine.</t>
  </si>
  <si>
    <t>Postoperative PACU recovery: one monitored line in place. Nursing addressed fall risk, perioperative education readiness, and pain control; all goals/outcomes met prior to transfer. Allergies listed: latex, amoxicillin, gabapentin, morphine. Family notified/visited; belongings returned.</t>
  </si>
  <si>
    <t>5747508317</t>
  </si>
  <si>
    <t>suki_b3221ea1-3c9f-4f60-b014-58ae5c90cbf9_patients_11223545_5747508317.pdf</t>
  </si>
  <si>
    <t>GI consult for hyperbilirubinemia and jaundice in metastatic renal cell carcinoma. MRI shows worsening hepatic burden and biliary dilation. Plan includes MRI/MRCP, NPO for anticipated ERCP with stenting, and intravenous fluids for suspected pancreatitis from elevated lipase.</t>
  </si>
  <si>
    <t>GI consult for unspecified jaundice and hyperbilirubinemia due to worsening metastatic renal cell carcinoma liver lesions. Plan includes anticipated ERCP for left-sided stenting, maintaining NPO, and starting IVF for elevated lipase. Will discuss the procedure tomorrow.</t>
  </si>
  <si>
    <t>GI consult for jaundice/hyperbilirubinemia in metastatic RCC; Tbili 16, ALP 1027, lipase 495 without fever/leukocytosis. MRI/MRCP showed extensive worsening liver lesions with dilation; NPO for possible ERCP/stent, IV fluids for suspected pancreatitis, trend daily labs.</t>
  </si>
  <si>
    <t>5806199962</t>
  </si>
  <si>
    <t>suki_b3221ea1-3c9f-4f60-b014-58ae5c90cbf9_patients_13358433_5806199962.pdf</t>
  </si>
  <si>
    <t>Emergency visit for left-sided chest pain following sirolimus initiation for Castleman's disease. Diagnostic workup including troponins, EKG, and chest x-ray was negative for acute pathology. Discharged after symptom improvement following GI medications; cardiology follow-up was scheduled.</t>
  </si>
  <si>
    <t>ED visit for left-sided chest pain radiating to the scapula after starting sirolimus. EKG, negative troponins, and normal chest X-ray ruled out acute cardiopulmonary events. Symptoms resolved with a GI cocktail. Discharged with cardiology and oncology follow-up.</t>
  </si>
  <si>
    <t>ED evaluation for chest pain after starting sirolimus. EKG normal sinus rhythm with nonspecific T-wave changes; troponin negative, HEART/Geneva low risk. CXR mild congestion, no consolidation/pneumothorax. Given GI cocktail and Protonix, improved; discharged with cardiology and specialist follow-up, return precautions.</t>
  </si>
  <si>
    <t>5816456361</t>
  </si>
  <si>
    <t>suki_b3221ea1-3c9f-4f60-b014-58ae5c90cbf9_patients_16994743_5816456361.pdf</t>
  </si>
  <si>
    <t>Emergency department evaluation for intractable dizziness, nausea, and vomiting. Examination revealed positive orthostatics despite IV fluid resuscitation. History of atrial fibrillation noted. Administered meclizine. Admitted for observation and neurological workup following unremarkable laboratory results and CT head.</t>
  </si>
  <si>
    <t>ED visit for weakness, vomiting, and intractable dizziness. Despite receiving IV fluids and meclizine, subjective orthostatics remained positive. Patient was admitted for persistent symptoms requiring further neurological workup. Orders include telemetry, physician consultation, and a non-contrast head CT.</t>
  </si>
  <si>
    <t>ED visit for acute dizziness/lightheadedness with weakness and vomiting after recent AF cardioversion. EKG sinus rhythm, troponins negative, labs/UA reassuring, CXR without acute disease. Given IV fluids and meclizine; admitted for intractable dizziness, telemetry, and CT head.</t>
  </si>
  <si>
    <t>5753561428</t>
  </si>
  <si>
    <t>suki_b3221ea1-3c9f-4f60-b014-58ae5c90cbf9_patients_21906707_5753561428.pdf</t>
  </si>
  <si>
    <t>Neuro-oncology consultation for worsening dizziness and weakness. Imaging reveals new brain metastases and findings suggestive of leptomeningeal disease. Planned interventions include lumbar puncture for CSF analysis, radiation oncology evaluation, and nutritional support for weight loss and deconditioning.</t>
  </si>
  <si>
    <t>Neuro-oncology consult for dizziness, weakness, and suspected leptomeningeal disease in metastatic esophageal adenocarcinoma. MRI spine revealed cauda equina enhancement. Recommendations include a diagnostic lumbar puncture, radiation oncology evaluation, encephalopathy labs, nutritional optimization, and empiric thiamine.</t>
  </si>
  <si>
    <t>Neuro-oncology consult for dizziness and unsteady gait with metastatic esophageal cancer. MRI brain showed three new enhancing foci; spine MRI mild cauda equina enhancement concerning for leptomeningeal disease. Plan lumbar puncture with cytology/infectious studies, rad-onc review, orthostatic vitals, nutrition, PT/OT.</t>
  </si>
  <si>
    <t>5756741220</t>
  </si>
  <si>
    <t>suki_b3221ea1-3c9f-4f60-b014-58ae5c90cbf9_patients_21929088_5756741220.pdf</t>
  </si>
  <si>
    <t>Post-operative recovery following bronchoscopy. Addressed nursing diagnoses of pain, fall risk, and knowledge deficit. Patient achieved all clinical outcome goals, demonstrating effective pain management and safety prior to discharge from the post-anesthesia care unit.</t>
  </si>
  <si>
    <t>Post-operative PACU recovery note following a bronchoscopy. Nursing assessments addressed pain control, fall risk, and procedural knowledge deficits. The patient remained free from physical injury, demonstrated adequate pain management, and successfully met Phase 1 recovery criteria.</t>
  </si>
  <si>
    <t>Post-anesthesia recovery after bronchoscopy: observed in PACU until phase‑1 criteria met and ready for discharge. Pain control assessed and reinforced; fall-risk safety devices used; postoperative education provided to address knowledge deficit. No known medication allergies.</t>
  </si>
  <si>
    <t>5722933300</t>
  </si>
  <si>
    <t>suki_b3221ea1-3c9f-4f60-b014-58ae5c90cbf9_patients_23376190_5722933300.pdf</t>
  </si>
  <si>
    <t>Postoperative PACU recovery focused on pain management and physiological monitoring. Maintained one monitored line. Addressed acute pain and fall risk with safety protocols. Patient met all discharge criteria with adequate pain control and demonstrated understanding of surgical recovery.</t>
  </si>
  <si>
    <t>Postoperative PACU nursing record indicating successful Phase 1 recovery. Interventions actively managed pain control, fall risk, and postoperative education. All clinical outcome goals were fully achieved. One monitored line remains in place, and the spouse is present at bedside.</t>
  </si>
  <si>
    <t>Postoperative PACU recovery without documented complications. No known medication allergies. One monitored line in place. Pain control assessed and adequate; safety devices and fall risk precautions applied; perioperative teaching provided. Phase 1 discharge criteria met; spouse notified/visited; belongings with family.</t>
  </si>
  <si>
    <t>5612285558</t>
  </si>
  <si>
    <t>suki_b3221ea1-3c9f-4f60-b014-58ae5c90cbf9_patients_23570430_5612285558.pdf</t>
  </si>
  <si>
    <t>Post-autologous stem cell transplant for Hodgkin lymphoma complicated by MRSE bacteremia, septic internal jugular vein thrombosis, and hypotension. Engraftment achieved. Transitioned to outpatient dalbavancin and Eliquis. Follow-up scheduled for additional antibiotic infusion and laboratory monitoring.</t>
  </si>
  <si>
    <t>Discharged following autologous stem cell transplant for Hodgkin lymphoma. Course complicated by catheter related MRSE bacteremia and upper extremity deep vein thromboses requiring central line removal. Transitioning to outpatient dalbavancin and continuing apixaban. Restarted metoprolol for exacerbated sinus tachycardia.</t>
  </si>
  <si>
    <t>Discharged after BEAM/autologous HSCT for Hodgkin lymphoma complicated by MRSE bacteremia with septic left IJ/subclavian DVT causing hypotension, diarrhea, and sinus tachycardia. CVL removed; completed vancomycin, scheduled outpatient dalbavancin; continue apixaban; restarted metoprolol; follow-up next-day labs/infusion.</t>
  </si>
  <si>
    <t>5740634558</t>
  </si>
  <si>
    <t>suki_b3221ea1-3c9f-4f60-b014-58ae5c90cbf9_patients_25192263_5740634558.pdf</t>
  </si>
  <si>
    <t>Pathology consultation for symptomatic reaction during PRBC transfusion. Evaluation of chest pain, rigors, and dyspnea showed no hemolysis, clerical errors, or DAT reactivity. Diagnosed non-severe nonhemolytic transfusion reaction. Continue current transfusion management and clinically correlate symptoms.</t>
  </si>
  <si>
    <t>Pathology consult for suspected transfusion reaction presenting with chest pain and dyspnea during PRBC administration for AML. Workup confirmed no hemolysis, nonreactive DAT, and correct blood typing. Assessed as possible nonhemolytic reaction requiring no change in transfusion management.</t>
  </si>
  <si>
    <t>During PRBC transfusion for AML-related anemia, developed chest pain, rigors, and dyspnea/hypoxia after 130 mL; transfusion stopped and reaction evaluation sent. Clerical check, hemolysis screen, DAT, and repeat ABO/Rh were negative—possible nonsevere nonhemolytic reaction; no change in transfusion management.</t>
  </si>
  <si>
    <t>5694128824</t>
  </si>
  <si>
    <t>suki_b3221ea1-3c9f-4f60-b014-58ae5c90cbf9_patients_25635662_5694128824.pdf</t>
  </si>
  <si>
    <t>Sarcoma consultation for intractable vomiting due to radiation enteritis and intestinal failure secondary to desmoplastic small round cell tumor. IR-guided gastrostomy or gastrojejunostomy tube is planned for decompression and potential feeding alongside aggressive fluid resuscitation and palliative care.</t>
  </si>
  <si>
    <t>Sarcoma consult for severe radiation enteritis causing nausea, vomiting, and neoplasm-related pain. Diagnoses include desmoplastic small round cell tumor and anemia. Extensive abdominal fibrosis precludes surgery; plan includes ongoing TPN, aggressive electrolyte replacement, and IR decompressive gastrostomy tube placement.</t>
  </si>
  <si>
    <t>Consult for intractable nausea/vomiting after irradiation; severe radiation enteritis causing intestinal failure and malnutrition. NG decompression relieved symptoms but output remains high. Continue TPN, replace losses/electrolytes, pursue IR gastrostomy/GJ for decompression and elemental feeds; surgery not advised, palliative care involved.</t>
  </si>
  <si>
    <t>5717841957</t>
  </si>
  <si>
    <t>suki_b3221ea1-3c9f-4f60-b014-58ae5c90cbf9_patients_32150082_5717841957.pdf</t>
  </si>
  <si>
    <t>Cardiology consultation for new onset acute heart failure, potentially due to immunotherapy-mediated cardiotoxicity, and hypoxic respiratory failure. Plan includes IV bumetanide diuresis, GDMT optimization, and transitioning to weight-based enoxaparin for breakthrough bilateral lower extremity DVT.</t>
  </si>
  <si>
    <t>Cardiology consult for acute heart failure, presumed secondary to amivantamab cardiotoxicity (EF 45-50%), alongside multifactorial hypoxic respiratory failure and breakthrough DVT. Initiated IV bumetanide diuresis and losartan for heart failure, and transitioned from DOAC to enoxaparin for DVT.</t>
  </si>
  <si>
    <t>Consult for dyspnea/edema found acute HF with EF 45–50% and pericardial effusion without tamponade, suspected amivantamab cardiotoxicity. Continue IV bumetanide with fluid/salt restriction; continue losartan; plan empagliflozin and metoprolol once infection-free/stable. Switch DVT anticoagulation to weight-based enoxaparin; outpatient cardiology follow-up.</t>
  </si>
  <si>
    <t>5737913681</t>
  </si>
  <si>
    <t>suki_b3221ea1-3c9f-4f60-b014-58ae5c90cbf9_patients_32393409_5737913681.pdf</t>
  </si>
  <si>
    <t>Observation admission for sacral wound dehiscence and cellulitis following tumor resection. Managed dysuria, constipation, and anemia. Plan includes holding chemotherapy, continuing antibiotics, offloading positioning, and wound care consult. Neurosurgery scheduled superficial wound debridement and revision.</t>
  </si>
  <si>
    <t>Admitted to observation for post-operative sacral wound dehiscence with suspected cellulitis. CT confirmed cellulitis without abscess. Continued ciprofloxacin and doxycycline; surgical debridement planned. Also managing acute dysuria with tamsulosin, constipation with a bowel regimen, and chronic anemia.</t>
  </si>
  <si>
    <t>Evaluated for sacral postoperative wound dehiscence with purulent drainage; CT pelvis showed superficial defect/cellulitis without abscess. Admitted to medicine observation, chemotherapy held, continued ciprofloxacin/doxycycline, wound care/offloading; neurosurgery scheduled superficial debridement/revision. Also addressed Foley-associated dysuria/constipation and monitored anemia.</t>
  </si>
  <si>
    <t>5749036265</t>
  </si>
  <si>
    <t>suki_b3221ea1-3c9f-4f60-b014-58ae5c90cbf9_patients_32430734_5749036265.pdf</t>
  </si>
  <si>
    <t>Procedure for left ureteral obstruction with removal of a left ureteral stent. Surgical pathology confirmed the specimen as a Bard medical device upon gross examination. No tissue was present and no other pathologic findings were identified.</t>
  </si>
  <si>
    <t>Surgical pathology review of an explanted left ureteral stent, submitted due to left ureteral obstruction. Gross examination confirmed the specimen is a medical device consistent with a ureteral stent. No additional pathological findings or ancillary studies were reported.</t>
  </si>
  <si>
    <t>Surgical pathology from left ureteral obstruction case examined a submitted left ureteral stent. Gross-only evaluation confirmed medical device consistent with ureteral stent; no tissue submitted, no ancillary studies, and no pathologic diagnosis reported.</t>
  </si>
  <si>
    <t>5604135124</t>
  </si>
  <si>
    <t>suki_b3221ea1-3c9f-4f60-b014-58ae5c90cbf9_patients_33503055_5604135124.pdf</t>
  </si>
  <si>
    <t>Emergency department visit for fever and hypoxia following recent hip surgery. CT ruled out pulmonary embolism but confirmed right-sided pneumonia. Initiated septic workup, IV fluids, and antibiotics including ceftriaxone and azithromycin. Admitted for further management of pneumonia.</t>
  </si>
  <si>
    <t>ED visit for fever and hypoxia from rehab following a recent hip fracture. A CT angiogram ruled out pulmonary embolism but confirmed right-sided pneumonia. Managed with IV fluids, ceftriaxone, and azithromycin, and admitted to the hospitalist service.</t>
  </si>
  <si>
    <t>Transferred from rehab after hip surgery for fever, hypoxia, and reported AMS. Workup showed right lower-lobe pneumonia with leukocytosis and anemia; D-dimer elevated but CTA chest negative for PE; COVID PCR negative. Treated with IV ceftriaxone/azithromycin, fluids, admitted.</t>
  </si>
  <si>
    <t>5676548586</t>
  </si>
  <si>
    <t>suki_b3221ea1-3c9f-4f60-b014-58ae5c90cbf9_patients_33645240_5676548586.pdf</t>
  </si>
  <si>
    <t>Hematology consult for acute pancytopenia and suspected heparin-induced thrombocytopenia. Recommended transitioning to argatroban and ordering anti-PF4 and serotonin release assays. Providing transfusion support while managing suspected ICI-induced AIDP and encephalopathy with high-dose steroids and IVIG.</t>
  </si>
  <si>
    <t>Hematology consult for new-onset pancytopenia in a patient receiving heparin for pulmonary emboli. To rule out heparin-induced thrombocytopenia, recommended stopping heparin, initiating argatroban, ordering anti-PF4 and serotonin release assays, and providing transfusion support for severe cytopenias.</t>
  </si>
  <si>
    <t>Hematology consulted for sudden pancytopenia with WBC 3.2, Hb 8.8, Plt 115 while hospitalized for bilateral pulmonary emboli/DVT and progressive AMS with suspected immune checkpoint inhibitor–related AIDP/hydrocephalus on IV steroids/IVIG. Intermediate 4T—stop heparin, start argatroban, send PF4 ELISA/SRA, transfuse/monitor counts.</t>
  </si>
  <si>
    <t>5747200959</t>
  </si>
  <si>
    <t>suki_b3221ea1-3c9f-4f60-b014-58ae5c90cbf9_patients_34363720_5747200959.pdf</t>
  </si>
  <si>
    <t>Infectious disease consult for impending neutropenia during lymphoma chemotherapy. Management addressed rhinovirus bronchitis, acute kidney injury, and small bowel enteritis. Initiated vancomycin and cefepime for fever; antimicrobial prophylaxis will restart if the ANC falls below 500.</t>
  </si>
  <si>
    <t>Infectious disease consult for fever and impending neutropenia in a patient with DLBCL undergoing HyperCVAD. Diagnosed with rhinovirus bronchitis and small bowel enteritis. Ordered stool cultures; plan to continue acyclovir and initiate vancomycin/cefepime if neutropenic fever develops.</t>
  </si>
  <si>
    <t>ID consult during HyperCVAD for high-grade DLBCL/Burkitt with fever and impending neutropenia. RVP positive for rhinovirus/enterovirus; CXR negative. CT abdomen showed small-bowel enteritis and enlarging RLQ mass. Continue acyclovir; restart ciprofloxacin/micafungin if ANC &lt;500; treat febrile neutropenia with vancomycin/cefepime.</t>
  </si>
  <si>
    <t>5761686746</t>
  </si>
  <si>
    <t>suki_b3221ea1-3c9f-4f60-b014-58ae5c90cbf9_patients_34932049_5761686746.pdf</t>
  </si>
  <si>
    <t>Emergency evaluation for dyspnea and facial swelling. Diagnoses include cervical lymphadenopathy and uncharacterized lymphoproliferative disorder. Administered IV corticosteroids and antibiotics. Admitted for airway observation and management of suspected pneumonia and pulmonary edema identified on imaging.</t>
  </si>
  <si>
    <t>Emergency visit for dyspnea and neck swelling. Principal assessments: bilateral cervical lymphadenopathy, uncharacterized lymphoproliferative disorder, and dyspnea. CT neck revealed enlarged nodes and apical ground-glass opacities. Administered Decadron, DuoNeb, and Rocephin. Admitted for airway observation and intravenous antibiotic therapy.</t>
  </si>
  <si>
    <t>Evaluated for dyspnea with neck and facial swelling amid lymphoproliferative workup. Neck CT: cervical lymphadenopathy without airway compression; apical opacities suggesting edema or pneumonia. Microcytic anemia present. Given IV dexamethasone, DuoNeb, ceftriaxone; blood cultures; admitted for airway monitoring and antibiotics.</t>
  </si>
  <si>
    <t>5802270453</t>
  </si>
  <si>
    <t>suki_b3221ea1-3c9f-4f60-b014-58ae5c90cbf9_patients_35064113_5802270453.pdf</t>
  </si>
  <si>
    <t>Emergency department visit for syncope following weakness and chills during active chemotherapy. Diagnoses include closed head injury, skull lesion concerning for metastasis, pancytopenia, acute kidney injury, and severe sepsis. Administered IV fluids and empiric antibiotics; admitted for management.</t>
  </si>
  <si>
    <t>ED visit for syncope and a fall in a patient on chemotherapy. Diagnosed with severe sepsis, pancytopenia, AKI, elevated troponin, and a new lytic skull lesion. Treated with IV fluids and empiric antibiotics, then admitted to telemetry.</t>
  </si>
  <si>
    <t>Syncope with head strike, fever, and weakness on chemotherapy. Labs: pancytopenia, AKI, troponin elevation. Treated as severe sepsis with IVF, cefepime and vancomycin; cultures; UA not collected. CT head and cervical spine negative; lytic skull lesion suggests metastasis. Admitted telemetry.</t>
  </si>
  <si>
    <t>6473177922</t>
  </si>
  <si>
    <t>7312933c-5982-4313-8530-433214730c33</t>
  </si>
  <si>
    <t>suki_7312933c-5982-4313-8530-433214730c33_patients_1107474_6473177922.pdf</t>
  </si>
  <si>
    <t>Hospitalization for falls secondary to dehydration and alcohol abuse. Managed with IV fluids and electrolyte replacement; torsemide was decreased. Plan includes alcohol cessation, physical therapy, monitoring an incidental abdominal aortic aneurysm, and PCP follow-up for repeat CBC and BMP.</t>
  </si>
  <si>
    <t>Admitted for falls, dehydration, and withdrawal from alcohol abuse, requiring IV fluids and electrolyte replacement. Torsemide was decreased. Vascular surgery evaluated incidental mesenteric stenosis and an infrarenal abdominal aortic aneurysm, recommending an antiplatelet, antilipid, and outpatient monitoring.</t>
  </si>
  <si>
    <t>Admitted for frequent falls from dehydration with alcohol use, withdrawal, hyponatremia, hypokalemia/hypomagnesemia. Given IV fluids and electrolyte repletion with improvement; torsemide reduced and alcohol cessation counseling/resources provided. Incidental celiac/SMA/renal stenoses and small AAA—no intervention; outpatient vascular/PCP follow-up, repeat CBC/BMP.</t>
  </si>
  <si>
    <t>6485695791</t>
  </si>
  <si>
    <t>suki_7312933c-5982-4313-8530-433214730c33_patients_1121270_6485695791.pdf</t>
  </si>
  <si>
    <t>Primary care visit for acute cough and orthopnea. Diagnosed asthma exacerbation and bronchospasm. Prescribed oral prednisone and refilled albuterol with education on proper technique. Addressed medication cost barriers and maintenance inhaler non-adherence; antibiotics were not indicated.</t>
  </si>
  <si>
    <t>Primary care visit for severe cough and wheezing. Evaluated for mild persistent asthma, cough, and bronchospasm. The exacerbation was triggered by unaffordable maintenance medication and an empty rescue inhaler. Prescribed oral prednisone and refilled the albuterol inhaler.</t>
  </si>
  <si>
    <t>Seen for 1-week severe cough, wheeze, and orthopnea with mild persistent asthma; maintenance inhaler unaffordable. Exam mildly tight but oxygenating well. Diagnosed cough/bronchospasm from asthma flare; prescribed oral prednisone, sent new albuterol with refills, taught inhaler technique; no antibiotics.</t>
  </si>
  <si>
    <t>6435599892</t>
  </si>
  <si>
    <t>suki_7312933c-5982-4313-8530-433214730c33_patients_1131099_6435599892.pdf</t>
  </si>
  <si>
    <t>Patient underwent anterior colporrhaphy and cystoscopy for symptomatic stage II anterior prolapse. The cystocele was successfully reduced via midline plication. No intraoperative complications occurred; cystoscopy confirmed patent ureters and an intact bladder without lesions.</t>
  </si>
  <si>
    <t>Operative visit for symptomatic Stage II anterior prolapse and recent urinary retention. Underwent an anterior colporrhaphy and cystoscopy under general anesthesia. The cystocele was successfully reduced without complications. Cystoscopy confirmed bilateral ureteral patency and no bladder injuries.</t>
  </si>
  <si>
    <t>Anterior colporrhaphy with cystoscopy performed for symptomatic stage II cystocele after pelvic floor therapy and constipation-related urinary retention resolved. General anesthesia; EBL 10 mL. Cystoscopy confirmed no bladder injury or lesions and bilateral ureteral jets; no complications.</t>
  </si>
  <si>
    <t>6502296222</t>
  </si>
  <si>
    <t>suki_7312933c-5982-4313-8530-433214730c33_patients_1156556_6502296222.pdf</t>
  </si>
  <si>
    <t>Admission for diabetic foot infection and osteomyelitis. Managed with right second toe amputation and IV antibiotics. Discharged on home cardiac medications and PRN Norco. Requires follow-up for postoperative wound care and management of cardiomyopathy and type 2 diabetes.</t>
  </si>
  <si>
    <t>Admission for right second toe diabetic foot infection, osteomyelitis, and cellulitis. Underwent initial debridement followed by amputation through the proximal phalanx. Managed with IV antibiotics and sliding scale insulin. Discharged home with pain medication and primary care follow-up.</t>
  </si>
  <si>
    <t>Admitted for second-toe diabetic foot infection/cellulitis with PVD/neuropathy; MRI showed distal phalanx osteomyelitis. Underwent debridement then second-toe amputation; treated with IV antibiotics and wound care after vascular surgery/ID consult; cultures prelim no growth. Discharged home, resumed cardiac meds, PCP follow-up.</t>
  </si>
  <si>
    <t>6475866395</t>
  </si>
  <si>
    <t>suki_7312933c-5982-4313-8530-433214730c33_patients_1217809_6475866395.pdf</t>
  </si>
  <si>
    <t>Emergency visit for a scalp laceration after a fall while intoxicated. CT imaging ruled out acute traumatic injuries. Laceration was repaired with seven staples. Patient discharged with instructions for responsible alcohol use and return in seven days for staple removal.</t>
  </si>
  <si>
    <t>ED visit for an accidental fall, alcohol intoxication, and scalp laceration. CT head and cervical spine ruled out acute injuries. The laceration was repaired with staples. Patient received IV fluids and was safely discharged home with staple removal instructions.</t>
  </si>
  <si>
    <t>ED for fall with intoxication, headache, 4 cm scalp laceration; no LOC/anticoagulants. CT head/c-spine negative. Ethanol 289 mg/dL and sodium 134 treated with IV fluids; laceration irrigated and stapled, discharged for staple removal in 7 days and alcohol counseling.</t>
  </si>
  <si>
    <t>6491718569</t>
  </si>
  <si>
    <t>suki_7312933c-5982-4313-8530-433214730c33_patients_1411541_6491718569.pdf</t>
  </si>
  <si>
    <t>Initial Medicare annual wellness visit addressing BPPV, lumbosacral neuroforaminal stenosis, and chronic knee pain. Administered MMR vaccine. Recommended physical therapy for radiculopathy and vertigo, plus orthopedic referral for knee pain. Renewed meclizine and continued calcium and vitamin D supplements.</t>
  </si>
  <si>
    <t>Primary care annual wellness visit. Addressed lumbosacral neuroforaminal stenosis and BPPV, recommending physical therapy for both and PRN meclizine. Advised orthopedic consultation for chronic right knee pain. Continued calcium and vitamin D for osteopenia and administered MMR vaccine.</t>
  </si>
  <si>
    <t>Annual wellness visit addressing intermittent positional vertigo on rising, chronic lumbosacral neuroforaminal stenosis with radicular pain, osteopenia, and chronic right knee pain. Recommended physical therapy for vertigo/back, renewed meclizine PRN, advised orthopedics consult, continue calcium/vitamin D, counseled vaccines; MMR given.</t>
  </si>
  <si>
    <t>6467876017</t>
  </si>
  <si>
    <t>suki_7312933c-5982-4313-8530-433214730c33_patients_4659003_6467876017.pdf</t>
  </si>
  <si>
    <t>Surgical Maze IV procedure performed for atrial fibrillation. Left and right atrial lesion sets were completed using radiofrequency and cryoablation. Actions included explanting a Watchman device and surgical left atrial appendage exclusion via cut and sew.</t>
  </si>
  <si>
    <t>Operative report for a surgical Maze IV procedure treating atrial fibrillation. Right and left atrial lesion sets were completed utilizing radiofrequency and cryoablation. The left atrial appendage was excluded via cut-and-sew; a Watchman device was explanted.</t>
  </si>
  <si>
    <t>Maze IV surgical ablation for atrial fibrillation completed left and right atrial lesion sets: bilateral pulmonary vein isolation with roof/floor lines, mitral isthmus and coronary sinus lesions, right atrial lesions at SVC/IVC and tricuspid annulus, plus left atrial appendage exclusion.</t>
  </si>
  <si>
    <t>6491117059</t>
  </si>
  <si>
    <t>suki_7312933c-5982-4313-8530-433214730c33_patients_4706913_6491117059.pdf</t>
  </si>
  <si>
    <t>Hospitalized for transient left-sided facial droop, diagnosed as TIA. MRI/MRA revealed segmental stenosis. Discharged on a 21-day course of dual antiplatelet therapy followed by aspirin monotherapy and high-dose statin. Follow up with primary care for A1c screening.</t>
  </si>
  <si>
    <t>Admission for left-sided facial droop diagnosed as TIA. Neurology noted segmental stenosis on MRI/MRA with negative echocardiogram. Discharged on 21-day dual antiplatelet therapy with aspirin and Plavix, then aspirin monotherapy, plus high-dose atorvastatin. Order routine outpatient A1c.</t>
  </si>
  <si>
    <t>Observed for transient left facial droop episodes diagnosed as TIA. CT head and echo were negative; MRI/MRA showed segmental stenosis, and neurology felt no acute stroke. Discharged on 21-day aspirin/clopidogrel then aspirin indefinitely, plus high-intensity statin; PCP for A1c, PT/OT.</t>
  </si>
  <si>
    <t>6349013836</t>
  </si>
  <si>
    <t>suki_7312933c-5982-4313-8530-433214730c33_patients_4931200_6349013836.pdf</t>
  </si>
  <si>
    <t>Primary care visit for type 2 diabetes with hyperglycemia and recent kidney stone. Increased insulin degludec and insulin lispro dosages for glycemic control. Diabetic foot exam completed. Ureteral stent removal is scheduled. Recommended comprehensive eye exam and six-week reassessment.</t>
  </si>
  <si>
    <t>Primary care follow-up for uncontrolled type 2 diabetes and recent kidney stone. Increased Humalog and Tresiba to address persistent hyperglycemia given an A1c of 8.5%. Confirmed upcoming ureteral stent removal and advised a comprehensive diabetic eye exam.</t>
  </si>
  <si>
    <t>Clinic follow-up for type 2 diabetes with hyperglycemia; A1c 8.5 and readings &gt;200. Intensified insulin by increasing mealtime lispro and morning degludec. Kidney stone with ureteral stent causing hematuria; removal planned. Follow up in six weeks; arrange diabetic eye exam.</t>
  </si>
  <si>
    <t>6470151709</t>
  </si>
  <si>
    <t>suki_7312933c-5982-4313-8530-433214730c33_patients_5120097_6470151709.pdf</t>
  </si>
  <si>
    <t>Emergency visit for shortness of breath and post-operative hip pain following a recent fracture. Patient remained at respiratory baseline despite bilateral wheezing. Provided albuterol-ipratropium and hydrocodone-acetaminophen. Discharged home with instructions for outpatient follow-up.</t>
  </si>
  <si>
    <t>ED visit for baseline shortness of breath and post-operative hip pain. Exam revealed slight wheezing but no acute distress. Diagnosed with shortness of breath. Treated with an ipratropium-albuterol nebulizer and oral hydrocodone-acetaminophen, then discharged home for outpatient follow-up.</t>
  </si>
  <si>
    <t>ED evaluation for chronic baseline dyspnea with wheeze and postoperative hip pain after recent hip fracture repair; denied chest pain or new injury. Given ipratropium-albuterol nebulizer and hydrocodone-acetaminophen with improved breathing, discharged with follow-up; no labs.</t>
  </si>
  <si>
    <t>6415816537</t>
  </si>
  <si>
    <t>suki_7312933c-5982-4313-8530-433214730c33_patients_5601132_6415816537.pdf</t>
  </si>
  <si>
    <t>Primary care visit for hypertension and weight management. Hypertension remains stable on diltiazem. For class 2 obesity, initiated liraglutide due to previous Wegovy discontinuation. Scheduled follow-up in eight weeks to assess medication tolerance and clinical response.</t>
  </si>
  <si>
    <t>Primary care visit for hypertension and weight management. Hypertension is well-controlled on diltiazem. For Class 2 obesity, initiated liraglutide due to insurance discontinuing Wegovy. Continued current antihypertensive therapy and scheduled an 8-week follow-up to assess medication tolerance.</t>
  </si>
  <si>
    <t>Seen for hypertension follow up and class 2 obesity after insurance stopped Wegovy. BP controlled; continue diltiazem and home checks. Start liraglutide for weight loss pending prior authorization and dose titration. Recheck in 8 weeks; wellness labs in six months.</t>
  </si>
  <si>
    <t>6392371952</t>
  </si>
  <si>
    <t>suki_7312933c-5982-4313-8530-433214730c33_patients_7256517_6392371952.pdf</t>
  </si>
  <si>
    <t>T10 to pelvis posterior instrumented fusion and bilateral SI joint fusion performed for degenerative scoliosis and spondylosis. Spinal cord stimulator removed. Intraoperative course notable for 1200 mL blood loss and four-unit PRBC transfusion. Patient stable postoperatively.</t>
  </si>
  <si>
    <t>Operative report for degenerative scoliosis and L2-S1 spondylosis with foraminal stenosis. Underwent T10-to-pelvis posterior instrumented fusion, L2-L5 osteotomies, bilateral SI joint fusion, and spinal cord stimulator removal. Blood loss was 1,200 mL with 4 units PRBCs given. No complications.</t>
  </si>
  <si>
    <t>For degenerative scoliosis with severe L2–S1 spondylosis/foraminal stenosis, underwent T10–pelvis posterior instrumented fusion, L2–5 osteotomies with laminectomy/foraminotomies, bilateral SI joint fusion, and cord stimulator explant. EBL 1.2 L; 4 units PRBC; no complications; extubated stable.</t>
  </si>
  <si>
    <t>Metrics</t>
  </si>
  <si>
    <t>Acceptance Rate</t>
  </si>
  <si>
    <t>Error Rate</t>
  </si>
  <si>
    <t>Hallucination - Inference</t>
  </si>
  <si>
    <t>Extraneous Information</t>
  </si>
  <si>
    <t>Hallucination - Fabriaction</t>
  </si>
  <si>
    <t>Extranous Information</t>
  </si>
  <si>
    <t>Total Completed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</si>
</sst>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font>
    <font>
      <color theme="1"/>
      <name val="Arial"/>
    </font>
    <font>
      <sz val="11.0"/>
      <color theme="1"/>
      <name val="Calibri"/>
    </font>
    <font>
      <u/>
      <color theme="1"/>
      <name val="Arial"/>
    </font>
    <font>
      <u/>
      <color theme="1"/>
      <name val="Arial"/>
    </font>
    <font>
      <b/>
      <color theme="1"/>
      <name val="Arial"/>
    </font>
    <font>
      <color rgb="FFFF0000"/>
      <name val="Arial"/>
      <scheme val="minor"/>
    </font>
    <font>
      <b/>
      <color theme="1"/>
      <name val="Arial"/>
      <scheme val="minor"/>
    </font>
    <font>
      <b/>
      <sz val="11.0"/>
      <color theme="1"/>
      <name val="Arial"/>
    </font>
    <font>
      <b/>
      <sz val="12.0"/>
      <color theme="1"/>
      <name val="Calibri"/>
    </font>
    <font>
      <color theme="1"/>
      <name val="Arial"/>
      <scheme val="minor"/>
    </font>
  </fonts>
  <fills count="9">
    <fill>
      <patternFill patternType="none"/>
    </fill>
    <fill>
      <patternFill patternType="lightGray"/>
    </fill>
    <fill>
      <patternFill patternType="solid">
        <fgColor rgb="FFF9CB9C"/>
        <bgColor rgb="FFF9CB9C"/>
      </patternFill>
    </fill>
    <fill>
      <patternFill patternType="solid">
        <fgColor rgb="FFFF9900"/>
        <bgColor rgb="FFFF9900"/>
      </patternFill>
    </fill>
    <fill>
      <patternFill patternType="solid">
        <fgColor rgb="FFD9D9D9"/>
        <bgColor rgb="FFD9D9D9"/>
      </patternFill>
    </fill>
    <fill>
      <patternFill patternType="solid">
        <fgColor rgb="FFFCE5CD"/>
        <bgColor rgb="FFFCE5CD"/>
      </patternFill>
    </fill>
    <fill>
      <patternFill patternType="solid">
        <fgColor rgb="FFF3F3F3"/>
        <bgColor rgb="FFF3F3F3"/>
      </patternFill>
    </fill>
    <fill>
      <patternFill patternType="solid">
        <fgColor rgb="FFFFFFFF"/>
        <bgColor rgb="FFFFFFFF"/>
      </patternFill>
    </fill>
    <fill>
      <patternFill patternType="solid">
        <fgColor rgb="FFD9EAD3"/>
        <bgColor rgb="FFD9EAD3"/>
      </patternFill>
    </fill>
  </fills>
  <borders count="3">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3" fontId="1" numFmtId="0" xfId="0" applyAlignment="1" applyBorder="1" applyFill="1" applyFont="1">
      <alignment horizontal="center" readingOrder="0" shrinkToFit="0" vertical="top" wrapText="1"/>
    </xf>
    <xf borderId="1" fillId="4" fontId="2" numFmtId="0" xfId="0" applyAlignment="1" applyBorder="1" applyFill="1" applyFont="1">
      <alignment horizontal="center" readingOrder="0" shrinkToFit="0" vertical="top" wrapText="1"/>
    </xf>
    <xf borderId="1" fillId="5" fontId="1" numFmtId="0" xfId="0" applyAlignment="1" applyBorder="1" applyFill="1" applyFont="1">
      <alignment horizontal="center" shrinkToFit="0" vertical="top" wrapText="1"/>
    </xf>
    <xf borderId="1" fillId="0" fontId="2" numFmtId="0" xfId="0" applyAlignment="1" applyBorder="1" applyFont="1">
      <alignment horizontal="center" vertical="top"/>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1" fillId="0" fontId="2" numFmtId="0" xfId="0" applyAlignment="1" applyBorder="1" applyFont="1">
      <alignment shrinkToFit="0" vertical="top" wrapText="1"/>
    </xf>
    <xf borderId="1" fillId="0" fontId="2" numFmtId="0" xfId="0" applyAlignment="1" applyBorder="1" applyFont="1">
      <alignment vertical="top"/>
    </xf>
    <xf borderId="1" fillId="4" fontId="2" numFmtId="0" xfId="0" applyAlignment="1" applyBorder="1" applyFont="1">
      <alignment vertical="top"/>
    </xf>
    <xf borderId="1" fillId="0" fontId="2" numFmtId="0" xfId="0" applyAlignment="1" applyBorder="1" applyFont="1">
      <alignment vertical="top"/>
    </xf>
    <xf borderId="0" fillId="0" fontId="5" numFmtId="0" xfId="0" applyAlignment="1" applyFont="1">
      <alignment shrinkToFit="0" vertical="bottom" wrapText="1"/>
    </xf>
    <xf borderId="1" fillId="0" fontId="2" numFmtId="0" xfId="0" applyAlignment="1" applyBorder="1" applyFont="1">
      <alignment readingOrder="0" vertical="top"/>
    </xf>
    <xf borderId="1" fillId="6" fontId="2" numFmtId="0" xfId="0" applyAlignment="1" applyBorder="1" applyFill="1" applyFont="1">
      <alignment vertical="top"/>
    </xf>
    <xf borderId="1" fillId="6" fontId="2" numFmtId="0" xfId="0" applyAlignment="1" applyBorder="1" applyFont="1">
      <alignment vertical="top"/>
    </xf>
    <xf borderId="1" fillId="6" fontId="2" numFmtId="0" xfId="0" applyAlignment="1" applyBorder="1" applyFont="1">
      <alignment shrinkToFit="0" vertical="top" wrapText="1"/>
    </xf>
    <xf borderId="1" fillId="6" fontId="2" numFmtId="0" xfId="0" applyAlignment="1" applyBorder="1" applyFont="1">
      <alignment readingOrder="0" shrinkToFit="0" vertical="top" wrapText="1"/>
    </xf>
    <xf borderId="1" fillId="0" fontId="6" numFmtId="0" xfId="0" applyAlignment="1" applyBorder="1" applyFont="1">
      <alignment shrinkToFit="0" vertical="top" wrapText="1"/>
    </xf>
    <xf borderId="1" fillId="7" fontId="2" numFmtId="0" xfId="0" applyAlignment="1" applyBorder="1" applyFill="1" applyFont="1">
      <alignment vertical="top"/>
    </xf>
    <xf borderId="1" fillId="7" fontId="2" numFmtId="0" xfId="0" applyAlignment="1" applyBorder="1" applyFont="1">
      <alignment vertical="top"/>
    </xf>
    <xf borderId="1" fillId="7" fontId="2" numFmtId="0" xfId="0" applyAlignment="1" applyBorder="1" applyFont="1">
      <alignment shrinkToFit="0" vertical="top" wrapText="1"/>
    </xf>
    <xf borderId="1" fillId="7" fontId="2" numFmtId="0" xfId="0" applyAlignment="1" applyBorder="1" applyFont="1">
      <alignment readingOrder="0" vertical="top"/>
    </xf>
    <xf borderId="1" fillId="4"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7" numFmtId="0" xfId="0" applyAlignment="1" applyBorder="1" applyFont="1">
      <alignment readingOrder="0" vertical="top"/>
    </xf>
    <xf borderId="1" fillId="6" fontId="7" numFmtId="0" xfId="0" applyAlignment="1" applyBorder="1" applyFont="1">
      <alignment readingOrder="0" vertical="top"/>
    </xf>
    <xf borderId="0" fillId="0" fontId="2" numFmtId="0" xfId="0" applyAlignment="1" applyFont="1">
      <alignment readingOrder="0" shrinkToFit="0" vertical="top" wrapText="1"/>
    </xf>
    <xf borderId="0" fillId="6" fontId="2" numFmtId="0" xfId="0" applyAlignment="1" applyFont="1">
      <alignment shrinkToFit="0" vertical="top" wrapText="1"/>
    </xf>
    <xf borderId="0" fillId="4" fontId="2" numFmtId="0" xfId="0" applyAlignment="1" applyFont="1">
      <alignment shrinkToFit="0" vertical="top" wrapText="1"/>
    </xf>
    <xf borderId="0" fillId="6" fontId="2" numFmtId="0" xfId="0" applyAlignment="1" applyFont="1">
      <alignment readingOrder="0" shrinkToFit="0" vertical="top" wrapText="1"/>
    </xf>
    <xf borderId="0" fillId="0" fontId="2" numFmtId="0" xfId="0" applyAlignment="1" applyFont="1">
      <alignment shrinkToFit="0" vertical="top" wrapText="1"/>
    </xf>
    <xf borderId="0" fillId="6" fontId="2" numFmtId="0" xfId="0" applyAlignment="1" applyFont="1">
      <alignment vertical="top"/>
    </xf>
    <xf borderId="2" fillId="8" fontId="8" numFmtId="0" xfId="0" applyAlignment="1" applyBorder="1" applyFill="1" applyFont="1">
      <alignment horizontal="center" readingOrder="0" shrinkToFit="0" wrapText="1"/>
    </xf>
    <xf borderId="2" fillId="8" fontId="8" numFmtId="2" xfId="0" applyAlignment="1" applyBorder="1" applyFont="1" applyNumberFormat="1">
      <alignment horizontal="center" readingOrder="0" shrinkToFit="0" wrapText="1"/>
    </xf>
    <xf borderId="1" fillId="3" fontId="9" numFmtId="0" xfId="0" applyAlignment="1" applyBorder="1" applyFont="1">
      <alignment horizontal="center" readingOrder="0" shrinkToFit="0" vertical="top" wrapText="1"/>
    </xf>
    <xf borderId="2" fillId="3" fontId="10" numFmtId="0" xfId="0" applyAlignment="1" applyBorder="1" applyFont="1">
      <alignment horizontal="center" readingOrder="0" shrinkToFit="0" vertical="top" wrapText="1"/>
    </xf>
    <xf borderId="2" fillId="0" fontId="11" numFmtId="2" xfId="0" applyBorder="1" applyFont="1" applyNumberFormat="1"/>
    <xf borderId="0" fillId="0" fontId="11" numFmtId="0" xfId="0" applyFont="1"/>
    <xf borderId="0" fillId="0" fontId="11" numFmtId="0" xfId="0" applyAlignment="1" applyFont="1">
      <alignment readingOrder="0" shrinkToFit="0" wrapText="1"/>
    </xf>
    <xf borderId="2" fillId="0" fontId="11" numFmtId="0" xfId="0" applyBorder="1" applyFont="1"/>
    <xf borderId="0" fillId="0" fontId="11"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tmRW45cd-ComjKI1gUgoz-_VG7Qreelf/view?usp=drive_link" TargetMode="External"/><Relationship Id="rId42" Type="http://schemas.openxmlformats.org/officeDocument/2006/relationships/hyperlink" Target="https://drive.google.com/file/d/1-d9ogIDthWV7wuFKE7Z_QtyuVDdGOQrq/view?usp=drive_link" TargetMode="External"/><Relationship Id="rId41" Type="http://schemas.openxmlformats.org/officeDocument/2006/relationships/hyperlink" Target="https://drive.google.com/file/d/1VpM_f5lpn26tZZDSuELKxNlHZW7f5SjK/view?usp=drive_link" TargetMode="External"/><Relationship Id="rId44" Type="http://schemas.openxmlformats.org/officeDocument/2006/relationships/hyperlink" Target="https://drive.google.com/file/d/1JrXCy9yj1DjvzR_DEXg_aWOBpXLs-qB4/view?usp=drive_link" TargetMode="External"/><Relationship Id="rId43" Type="http://schemas.openxmlformats.org/officeDocument/2006/relationships/hyperlink" Target="https://drive.google.com/file/d/1t0v9KcharICknwoXHG_V8BQgOVy_NWpE/view?usp=drive_link" TargetMode="External"/><Relationship Id="rId46" Type="http://schemas.openxmlformats.org/officeDocument/2006/relationships/hyperlink" Target="https://drive.google.com/file/d/1gTwSpTOoXOJkwlZOyWWtL6zrI12hFuro/view?usp=drive_link" TargetMode="External"/><Relationship Id="rId45" Type="http://schemas.openxmlformats.org/officeDocument/2006/relationships/hyperlink" Target="https://drive.google.com/file/d/1lA3I9Vxk76N1RCYw59yUBVl0cpiK9N97/view?usp=drive_link" TargetMode="External"/><Relationship Id="rId48" Type="http://schemas.openxmlformats.org/officeDocument/2006/relationships/hyperlink" Target="https://drive.google.com/file/d/1VU0zahkj5Q9iL56JFuVsmZbq8IEBGbLH/view?usp=drive_link" TargetMode="External"/><Relationship Id="rId47" Type="http://schemas.openxmlformats.org/officeDocument/2006/relationships/hyperlink" Target="https://drive.google.com/file/d/1SP9yzDopD7DIqVyYPWmBGpUeAmpXNguF/view?usp=drive_link" TargetMode="External"/><Relationship Id="rId49" Type="http://schemas.openxmlformats.org/officeDocument/2006/relationships/hyperlink" Target="https://drive.google.com/file/d/1xWtH8ieh_8t7gtFMnKxbKY_ttFgfitk1/view?usp=drive_link" TargetMode="External"/><Relationship Id="rId101" Type="http://schemas.openxmlformats.org/officeDocument/2006/relationships/drawing" Target="../drawings/drawing1.xml"/><Relationship Id="rId100" Type="http://schemas.openxmlformats.org/officeDocument/2006/relationships/hyperlink" Target="https://drive.google.com/file/d/1TJboCO7i8w81XCN__tlVpIAHom8LOfi1/view?usp=drive_link" TargetMode="External"/><Relationship Id="rId31" Type="http://schemas.openxmlformats.org/officeDocument/2006/relationships/hyperlink" Target="https://drive.google.com/file/d/1L68fBW3Mh0mQED1pzW9zSWmNiGSOASaZ/view?usp=drive_link" TargetMode="External"/><Relationship Id="rId30" Type="http://schemas.openxmlformats.org/officeDocument/2006/relationships/hyperlink" Target="https://drive.google.com/file/d/1XCPqlbv7UjjGo4UpBmzlaS-qScsBpFrP/view?usp=drive_link" TargetMode="External"/><Relationship Id="rId33" Type="http://schemas.openxmlformats.org/officeDocument/2006/relationships/hyperlink" Target="https://drive.google.com/file/d/1vKP-cCMiHGi9ezHfi8ZFretYPmyvf_84/view?usp=drive_link" TargetMode="External"/><Relationship Id="rId32" Type="http://schemas.openxmlformats.org/officeDocument/2006/relationships/hyperlink" Target="https://drive.google.com/file/d/1tfPBn47tT23ClmafruN371rRZONxnc0d/view?usp=drive_link" TargetMode="External"/><Relationship Id="rId35" Type="http://schemas.openxmlformats.org/officeDocument/2006/relationships/hyperlink" Target="https://drive.google.com/file/d/1SiPhASDti_bfb63-S0qa5CtCjct0rAaI/view?usp=drive_link" TargetMode="External"/><Relationship Id="rId34" Type="http://schemas.openxmlformats.org/officeDocument/2006/relationships/hyperlink" Target="https://drive.google.com/file/d/1Ddcpk7BEdwcZsvoSrOH_Zz6d0UVnCXAN/view?usp=drive_link" TargetMode="External"/><Relationship Id="rId37" Type="http://schemas.openxmlformats.org/officeDocument/2006/relationships/hyperlink" Target="https://drive.google.com/file/d/1LG5f3kciqANQ18rvHHsBIhUscudhsr2y/view?usp=drive_link" TargetMode="External"/><Relationship Id="rId36" Type="http://schemas.openxmlformats.org/officeDocument/2006/relationships/hyperlink" Target="https://drive.google.com/file/d/1Vmz-qRPvdiH1IeSp6TMAK9nrZ9ZmySdc/view?usp=drive_link" TargetMode="External"/><Relationship Id="rId39" Type="http://schemas.openxmlformats.org/officeDocument/2006/relationships/hyperlink" Target="https://drive.google.com/file/d/1sHpEXZi2VLTvWaBI_lqdkhxvUEHfEztm/view?usp=drive_link" TargetMode="External"/><Relationship Id="rId38" Type="http://schemas.openxmlformats.org/officeDocument/2006/relationships/hyperlink" Target="https://drive.google.com/file/d/1xWEZAUZZ8EWqvm28mP1qr6bdvZHF45Ud/view?usp=drive_link" TargetMode="External"/><Relationship Id="rId20" Type="http://schemas.openxmlformats.org/officeDocument/2006/relationships/hyperlink" Target="https://drive.google.com/file/d/1EZeoitYuJNO-cn4Tfc9pqkoL6F69WukK/view?usp=drive_link" TargetMode="External"/><Relationship Id="rId22" Type="http://schemas.openxmlformats.org/officeDocument/2006/relationships/hyperlink" Target="https://drive.google.com/file/d/1eyCNT8mOpXE7DWfzIwVb3XL3Aous0QMU/view?usp=drive_link" TargetMode="External"/><Relationship Id="rId21" Type="http://schemas.openxmlformats.org/officeDocument/2006/relationships/hyperlink" Target="https://drive.google.com/file/d/1db0i7Y03HDISSrvFZ8BlDvy8nKrkCbq5/view?usp=drive_link" TargetMode="External"/><Relationship Id="rId24" Type="http://schemas.openxmlformats.org/officeDocument/2006/relationships/hyperlink" Target="https://drive.google.com/file/d/1zYLa03PXrcOUEYRL1b-QGkOxWK5PDkw8/view?usp=drive_link" TargetMode="External"/><Relationship Id="rId23" Type="http://schemas.openxmlformats.org/officeDocument/2006/relationships/hyperlink" Target="https://drive.google.com/file/d/1sbPmTZQ0evUdhmPxFqLN5FKTioHrjFEo/view?usp=drive_link" TargetMode="External"/><Relationship Id="rId26" Type="http://schemas.openxmlformats.org/officeDocument/2006/relationships/hyperlink" Target="https://drive.google.com/file/d/13zNZZKSGrg49R2bJMNtvNayyHtag-t_J/view?usp=drive_link" TargetMode="External"/><Relationship Id="rId25" Type="http://schemas.openxmlformats.org/officeDocument/2006/relationships/hyperlink" Target="https://drive.google.com/file/d/1m6z6q1WMFxxGrkw4PkQS9n2iRzI79f9Y/view?usp=drive_link" TargetMode="External"/><Relationship Id="rId28" Type="http://schemas.openxmlformats.org/officeDocument/2006/relationships/hyperlink" Target="https://drive.google.com/file/d/19ppq7TBsqNvpoyQV2mEWibvxd63UAbeo/view?usp=drive_link" TargetMode="External"/><Relationship Id="rId27" Type="http://schemas.openxmlformats.org/officeDocument/2006/relationships/hyperlink" Target="https://drive.google.com/file/d/1FQ3L72MLngOurh2OR2mMQOR9pY0tXTSu/view?usp=drive_link" TargetMode="External"/><Relationship Id="rId29" Type="http://schemas.openxmlformats.org/officeDocument/2006/relationships/hyperlink" Target="https://drive.google.com/file/d/1SQ-AqebepnFlACGuUIqwj5PhlE10Tg6N/view?usp=drive_link" TargetMode="External"/><Relationship Id="rId95" Type="http://schemas.openxmlformats.org/officeDocument/2006/relationships/hyperlink" Target="https://drive.google.com/file/d/1imIBWRad7rTb5Y7gzL0YwsllJwkxlcgy/view?usp=drive_link" TargetMode="External"/><Relationship Id="rId94" Type="http://schemas.openxmlformats.org/officeDocument/2006/relationships/hyperlink" Target="https://drive.google.com/file/d/1ss7hncYeYJcGwCPsCsO3adKwSxIV2Z_C/view?usp=drive_link" TargetMode="External"/><Relationship Id="rId97" Type="http://schemas.openxmlformats.org/officeDocument/2006/relationships/hyperlink" Target="https://drive.google.com/file/d/1UzgVMKm96fnO1WKzB1v2OrnzuMjNx3t1/view?usp=drive_link" TargetMode="External"/><Relationship Id="rId96" Type="http://schemas.openxmlformats.org/officeDocument/2006/relationships/hyperlink" Target="https://drive.google.com/file/d/1xRYSu_OaoUiilmMaffwggcB3Xn6CSuNQ/view?usp=drive_link" TargetMode="External"/><Relationship Id="rId11" Type="http://schemas.openxmlformats.org/officeDocument/2006/relationships/hyperlink" Target="https://drive.google.com/file/d/16jZ4J2BnCk5EpmpEzsGKUk0p2QawP6-T/view?usp=drive_link" TargetMode="External"/><Relationship Id="rId99" Type="http://schemas.openxmlformats.org/officeDocument/2006/relationships/hyperlink" Target="https://drive.google.com/file/d/1uQQbudbcClJuCtfviSYNdWZsWYCiZzP5/view?usp=drive_link" TargetMode="External"/><Relationship Id="rId10" Type="http://schemas.openxmlformats.org/officeDocument/2006/relationships/hyperlink" Target="https://drive.google.com/file/d/1N2412qKw87uqzUjIq3LeCMldesZ_l8Uz/view?usp=drive_link" TargetMode="External"/><Relationship Id="rId98" Type="http://schemas.openxmlformats.org/officeDocument/2006/relationships/hyperlink" Target="https://drive.google.com/file/d/1_rGgzmZ0CX4lfK89B30qXL_0M04g2fSQ/view?usp=drive_link" TargetMode="External"/><Relationship Id="rId13" Type="http://schemas.openxmlformats.org/officeDocument/2006/relationships/hyperlink" Target="https://drive.google.com/file/d/1pOFmWkiK3CxoTiOnmRV_XGjQPT8hcIeR/view?usp=drive_link" TargetMode="External"/><Relationship Id="rId12" Type="http://schemas.openxmlformats.org/officeDocument/2006/relationships/hyperlink" Target="https://drive.google.com/file/d/1Bcoj4GFf71kazJ7bczTsOWho5PkhXRGL/view?usp=drive_link" TargetMode="External"/><Relationship Id="rId91" Type="http://schemas.openxmlformats.org/officeDocument/2006/relationships/hyperlink" Target="https://drive.google.com/file/d/1vWSBHjejTAuivyJrzg6ZmpWQ2YU4xfnw/view?usp=drive_link" TargetMode="External"/><Relationship Id="rId90" Type="http://schemas.openxmlformats.org/officeDocument/2006/relationships/hyperlink" Target="https://drive.google.com/file/d/1FzXP_HaxBbN9XBC93q-n3h2ppnp66Jjg/view?usp=drive_link" TargetMode="External"/><Relationship Id="rId93" Type="http://schemas.openxmlformats.org/officeDocument/2006/relationships/hyperlink" Target="https://drive.google.com/file/d/11qtBAZ_GDjF_KbEpDekc--v3ZGH4CWcJ/view?usp=drive_link" TargetMode="External"/><Relationship Id="rId92" Type="http://schemas.openxmlformats.org/officeDocument/2006/relationships/hyperlink" Target="https://drive.google.com/file/d/1EXnDj3wDtlcElslmt_u9jtJv797EIrpG/view?usp=drive_link" TargetMode="External"/><Relationship Id="rId15" Type="http://schemas.openxmlformats.org/officeDocument/2006/relationships/hyperlink" Target="https://drive.google.com/file/d/1HJslIOHD9pc8TXEKvekC53MfaYXzJGU_/view?usp=drive_link" TargetMode="External"/><Relationship Id="rId14" Type="http://schemas.openxmlformats.org/officeDocument/2006/relationships/hyperlink" Target="https://drive.google.com/file/d/15Hlj8hRSIcsxzUr1f9j7lmrRpyF2K5g6/view?usp=drive_link" TargetMode="External"/><Relationship Id="rId17" Type="http://schemas.openxmlformats.org/officeDocument/2006/relationships/hyperlink" Target="https://drive.google.com/file/d/1heXWvaNcVqWloRg-5PurUeVfPW2_akdR/view?usp=drive_link" TargetMode="External"/><Relationship Id="rId16" Type="http://schemas.openxmlformats.org/officeDocument/2006/relationships/hyperlink" Target="https://drive.google.com/file/d/1PxeyMTUpZvieSo0jbqTo2knQBxvq2mP4/view?usp=drive_link" TargetMode="External"/><Relationship Id="rId19" Type="http://schemas.openxmlformats.org/officeDocument/2006/relationships/hyperlink" Target="https://drive.google.com/file/d/1MsEBZ3521YOSWwjUVNiOA6AAWsqJCt4N/view?usp=drive_link" TargetMode="External"/><Relationship Id="rId18" Type="http://schemas.openxmlformats.org/officeDocument/2006/relationships/hyperlink" Target="https://drive.google.com/file/d/1nkbFKYsKG--RIzJzMXTGhj9yDn9Nc_mK/view?usp=drive_link" TargetMode="External"/><Relationship Id="rId84" Type="http://schemas.openxmlformats.org/officeDocument/2006/relationships/hyperlink" Target="https://drive.google.com/file/d/1yuFIdGBIiGbhr3v7htPPunwAktEi-hI4/view?usp=drive_link" TargetMode="External"/><Relationship Id="rId83" Type="http://schemas.openxmlformats.org/officeDocument/2006/relationships/hyperlink" Target="https://drive.google.com/file/d/1oFuUcL_vQERsd-kQLH0sKBcIcgof89Mj/view?usp=drive_link" TargetMode="External"/><Relationship Id="rId86" Type="http://schemas.openxmlformats.org/officeDocument/2006/relationships/hyperlink" Target="https://drive.google.com/file/d/11xywPjeO6trX400ufvL4pKq3wAh5EHzc/view?usp=drive_link" TargetMode="External"/><Relationship Id="rId85" Type="http://schemas.openxmlformats.org/officeDocument/2006/relationships/hyperlink" Target="https://drive.google.com/file/d/1WQ_zH_2pSGUKIhiXcGx6MXYKHp1b9rjg/view?usp=drive_link" TargetMode="External"/><Relationship Id="rId88" Type="http://schemas.openxmlformats.org/officeDocument/2006/relationships/hyperlink" Target="https://drive.google.com/file/d/1A118MCJvekBTlVZgYN7_sZTwwc820IIN/view?usp=drive_link" TargetMode="External"/><Relationship Id="rId87" Type="http://schemas.openxmlformats.org/officeDocument/2006/relationships/hyperlink" Target="https://drive.google.com/file/d/1XVNdo4lEuYHIMit0-YJ-Fp3oI-PFzBLU/view?usp=drive_link" TargetMode="External"/><Relationship Id="rId89" Type="http://schemas.openxmlformats.org/officeDocument/2006/relationships/hyperlink" Target="https://drive.google.com/file/d/1FFTmiKHqtRw4BvLevqWFibxEDY0KMC59/view?usp=drive_link" TargetMode="External"/><Relationship Id="rId80" Type="http://schemas.openxmlformats.org/officeDocument/2006/relationships/hyperlink" Target="https://drive.google.com/file/d/15p6DeCwuqLJ_v4rjftYQ3Myunw6IzjC2/view?usp=drive_link" TargetMode="External"/><Relationship Id="rId82" Type="http://schemas.openxmlformats.org/officeDocument/2006/relationships/hyperlink" Target="https://drive.google.com/file/d/1XjybNWl_iMQD8xCZbHIBNq0vQrDBUYic/view?usp=drive_link" TargetMode="External"/><Relationship Id="rId81" Type="http://schemas.openxmlformats.org/officeDocument/2006/relationships/hyperlink" Target="https://drive.google.com/file/d/1HqNgt_c1E5vHwOpWdw5dQ0q3Y1ehn95z/view?usp=drive_link" TargetMode="External"/><Relationship Id="rId1" Type="http://schemas.openxmlformats.org/officeDocument/2006/relationships/hyperlink" Target="https://drive.google.com/file/d/1W0wVBs1LVFssJ1x80U8bEYQeaj0XxJW_/view?usp=drive_link" TargetMode="External"/><Relationship Id="rId2" Type="http://schemas.openxmlformats.org/officeDocument/2006/relationships/hyperlink" Target="https://drive.google.com/file/d/1i1KHEpG2J6aM8vFyLnTKGyGD6H72zbzD/view?usp=drive_link" TargetMode="External"/><Relationship Id="rId3" Type="http://schemas.openxmlformats.org/officeDocument/2006/relationships/hyperlink" Target="https://drive.google.com/file/d/1rwL6UBRIcxOcD2mPutBnZ6YKHhPtouF-/view?usp=drive_link" TargetMode="External"/><Relationship Id="rId4" Type="http://schemas.openxmlformats.org/officeDocument/2006/relationships/hyperlink" Target="https://drive.google.com/file/d/1m_DfZujdBJcbTpdq852KVv18jlzKvdbk/view?usp=drive_link" TargetMode="External"/><Relationship Id="rId9" Type="http://schemas.openxmlformats.org/officeDocument/2006/relationships/hyperlink" Target="https://drive.google.com/file/d/1lscTeMnCveJaSJGn28KA6MKiBP7VmJ7k/view?usp=drive_link" TargetMode="External"/><Relationship Id="rId5" Type="http://schemas.openxmlformats.org/officeDocument/2006/relationships/hyperlink" Target="https://drive.google.com/file/d/1Htq__NU93iUt6bazSNEEtSgIIJvzgG_E/view?usp=drive_link" TargetMode="External"/><Relationship Id="rId6" Type="http://schemas.openxmlformats.org/officeDocument/2006/relationships/hyperlink" Target="https://drive.google.com/file/d/1eE1fqwGvmv36ED5J61o8TLW_-vjqWTLI/view?usp=drive_link" TargetMode="External"/><Relationship Id="rId7" Type="http://schemas.openxmlformats.org/officeDocument/2006/relationships/hyperlink" Target="https://drive.google.com/file/d/1sM09-7MwXvryEZCac2Hn5wzHJWP_TQ00/view?usp=drive_link" TargetMode="External"/><Relationship Id="rId8" Type="http://schemas.openxmlformats.org/officeDocument/2006/relationships/hyperlink" Target="https://drive.google.com/file/d/1PFjMXpQnaGKtqZCd-C9WQPr33j9omdw5/view?usp=drive_link" TargetMode="External"/><Relationship Id="rId73" Type="http://schemas.openxmlformats.org/officeDocument/2006/relationships/hyperlink" Target="https://drive.google.com/file/d/1nA1dd3oTTcN1JCxzNvoNtUp02dn85VD-/view?usp=drive_link" TargetMode="External"/><Relationship Id="rId72" Type="http://schemas.openxmlformats.org/officeDocument/2006/relationships/hyperlink" Target="https://drive.google.com/file/d/1RcHm8fDY1BbQZBUJAy0y6fX73q8Za6pM/view?usp=drive_link" TargetMode="External"/><Relationship Id="rId75" Type="http://schemas.openxmlformats.org/officeDocument/2006/relationships/hyperlink" Target="https://drive.google.com/file/d/1ZC7nH3vSbWkzDR9DxiBFRGsN5d0WdKNy/view?usp=drive_link" TargetMode="External"/><Relationship Id="rId74" Type="http://schemas.openxmlformats.org/officeDocument/2006/relationships/hyperlink" Target="https://drive.google.com/file/d/1aAJmjrDUCIk5oKPVQMFZRBqEADBt-JcK/view?usp=drive_link" TargetMode="External"/><Relationship Id="rId77" Type="http://schemas.openxmlformats.org/officeDocument/2006/relationships/hyperlink" Target="https://drive.google.com/file/d/17Tnh3qHBhDphKpq2lSqbvE9yWVHN6OXr/view?usp=drive_link" TargetMode="External"/><Relationship Id="rId76" Type="http://schemas.openxmlformats.org/officeDocument/2006/relationships/hyperlink" Target="https://drive.google.com/file/d/1XF7LPuBTm1ytN6EMjjrZLv17brapArk4/view?usp=drive_link" TargetMode="External"/><Relationship Id="rId79" Type="http://schemas.openxmlformats.org/officeDocument/2006/relationships/hyperlink" Target="https://drive.google.com/file/d/1cLTbyhT4_8rZGrgCtu97bJ4IHfiTEhA5/view?usp=drive_link" TargetMode="External"/><Relationship Id="rId78" Type="http://schemas.openxmlformats.org/officeDocument/2006/relationships/hyperlink" Target="https://drive.google.com/file/d/1kJsQc6G7ftV8dBu5pfLqh9GwqSvDlLjK/view?usp=drive_link" TargetMode="External"/><Relationship Id="rId71" Type="http://schemas.openxmlformats.org/officeDocument/2006/relationships/hyperlink" Target="https://drive.google.com/file/d/1R0g9RyK2tH2VtE1O6U9sb5icsL8hx-Au/view?usp=drive_link" TargetMode="External"/><Relationship Id="rId70" Type="http://schemas.openxmlformats.org/officeDocument/2006/relationships/hyperlink" Target="https://drive.google.com/file/d/1NAtQ-rTXqmJBOqFEidE6Fhq3SLMbAh38/view?usp=drive_link" TargetMode="External"/><Relationship Id="rId62" Type="http://schemas.openxmlformats.org/officeDocument/2006/relationships/hyperlink" Target="https://drive.google.com/file/d/17jhq_gxuBO7huF4zFLG5BEbowDaNdLIN/view?usp=drive_link" TargetMode="External"/><Relationship Id="rId61" Type="http://schemas.openxmlformats.org/officeDocument/2006/relationships/hyperlink" Target="https://drive.google.com/file/d/1tLYz6SDulTSLG3QwKE8GjmXfAYi28mWR/view?usp=drive_link" TargetMode="External"/><Relationship Id="rId64" Type="http://schemas.openxmlformats.org/officeDocument/2006/relationships/hyperlink" Target="https://drive.google.com/file/d/1J0LiJINcOm_fVcFzShKcgYoutApM3YvO/view?usp=drive_link" TargetMode="External"/><Relationship Id="rId63" Type="http://schemas.openxmlformats.org/officeDocument/2006/relationships/hyperlink" Target="https://drive.google.com/file/d/1-e1WfFtr2uov9JBWR8YusTHDHCe1r_SD/view?usp=drive_link" TargetMode="External"/><Relationship Id="rId66" Type="http://schemas.openxmlformats.org/officeDocument/2006/relationships/hyperlink" Target="https://drive.google.com/file/d/1y9s7tsj-5fGR438aqbcfCdG9xayvGjeF/view?usp=drive_link" TargetMode="External"/><Relationship Id="rId65" Type="http://schemas.openxmlformats.org/officeDocument/2006/relationships/hyperlink" Target="https://drive.google.com/file/d/1rI0i4TWnc8XdhLmbK9jYd2a_fKyu1mGn/view?usp=drive_link" TargetMode="External"/><Relationship Id="rId68" Type="http://schemas.openxmlformats.org/officeDocument/2006/relationships/hyperlink" Target="https://drive.google.com/file/d/1CuihMhdDh2GCVu5Qvn5hS3STqWWnGYaX/view?usp=drive_link" TargetMode="External"/><Relationship Id="rId67" Type="http://schemas.openxmlformats.org/officeDocument/2006/relationships/hyperlink" Target="https://drive.google.com/file/d/17lWG6Z8pdI5o3lYPhhKDKbr6we45D2B9/view?usp=drive_link" TargetMode="External"/><Relationship Id="rId60" Type="http://schemas.openxmlformats.org/officeDocument/2006/relationships/hyperlink" Target="https://drive.google.com/file/d/1Z8WtJWgTHzv2Nqda6P071VAiXTZt6wGg/view?usp=drive_link" TargetMode="External"/><Relationship Id="rId69" Type="http://schemas.openxmlformats.org/officeDocument/2006/relationships/hyperlink" Target="https://drive.google.com/file/d/1oE-icA-L12oe8zbYhDG-9_wiPSP_7w_f/view?usp=drive_link" TargetMode="External"/><Relationship Id="rId51" Type="http://schemas.openxmlformats.org/officeDocument/2006/relationships/hyperlink" Target="https://drive.google.com/file/d/1PKagKPkLyowNtLa_8dQmD4c-UH87trpk/view?usp=drive_link" TargetMode="External"/><Relationship Id="rId50" Type="http://schemas.openxmlformats.org/officeDocument/2006/relationships/hyperlink" Target="https://drive.google.com/file/d/1hUvO4kFVFKsReuR7j4mmCPyvfJpOdjX8/view?usp=drive_link" TargetMode="External"/><Relationship Id="rId53" Type="http://schemas.openxmlformats.org/officeDocument/2006/relationships/hyperlink" Target="https://drive.google.com/file/d/1ByeusNC19WCehC6Eiq8ZJOdRmSU8j_MG/view?usp=drive_link" TargetMode="External"/><Relationship Id="rId52" Type="http://schemas.openxmlformats.org/officeDocument/2006/relationships/hyperlink" Target="https://drive.google.com/file/d/1G5X-cpWx21QPq7s4E9Etb-7qOnnzx5c8/view?usp=drive_link" TargetMode="External"/><Relationship Id="rId55" Type="http://schemas.openxmlformats.org/officeDocument/2006/relationships/hyperlink" Target="https://drive.google.com/file/d/1EngyNeRZmu0_5byqLZP9Z9hzZ_INQLpJ/view?usp=drive_link" TargetMode="External"/><Relationship Id="rId54" Type="http://schemas.openxmlformats.org/officeDocument/2006/relationships/hyperlink" Target="https://drive.google.com/file/d/1-x0QIrD4KQsp9QTUR4IMNpOa626VB_4t/view?usp=drive_link" TargetMode="External"/><Relationship Id="rId57" Type="http://schemas.openxmlformats.org/officeDocument/2006/relationships/hyperlink" Target="https://drive.google.com/file/d/16SoReTNF1HPwuIBnbk8uNs2VcGp4vZP9/view?usp=drive_link" TargetMode="External"/><Relationship Id="rId56" Type="http://schemas.openxmlformats.org/officeDocument/2006/relationships/hyperlink" Target="https://drive.google.com/file/d/1bMeYyJf_fwHmuzpOo4W3E7JC8a7OPigD/view?usp=drive_link" TargetMode="External"/><Relationship Id="rId59" Type="http://schemas.openxmlformats.org/officeDocument/2006/relationships/hyperlink" Target="https://drive.google.com/file/d/1meMDmClWd3S14Wef46PnECvgS18-c3T-/view?usp=drive_link" TargetMode="External"/><Relationship Id="rId58" Type="http://schemas.openxmlformats.org/officeDocument/2006/relationships/hyperlink" Target="https://drive.google.com/file/d/1b5mKi3HTh8ZuFx7fQ3-pTUrB-l3Eeuwf/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5"/>
    <col customWidth="1" min="2" max="2" width="32.63"/>
    <col customWidth="1" min="3" max="3" width="19.63"/>
    <col customWidth="1" min="4" max="4" width="53.0"/>
    <col customWidth="1" min="5" max="5" width="11.25"/>
    <col customWidth="1" min="6" max="6" width="13.13"/>
    <col customWidth="1" min="7" max="7" width="17.25"/>
    <col customWidth="1" min="8" max="8" width="18.5"/>
    <col customWidth="1" min="9" max="10" width="20.63"/>
    <col customWidth="1" min="11" max="11" width="1.75"/>
    <col customWidth="1" min="12" max="14" width="20.63"/>
    <col customWidth="1" min="15" max="15" width="1.75"/>
    <col customWidth="1" min="16" max="18" width="20.63"/>
    <col customWidth="1" min="19" max="19" width="1.75"/>
    <col customWidth="1" min="20" max="22" width="20.63"/>
    <col customWidth="1" min="23" max="23" width="1.75"/>
    <col customWidth="1" min="24" max="25" width="20.63"/>
    <col customWidth="1" min="26" max="26" width="1.75"/>
    <col customWidth="1" min="27" max="27" width="1.5"/>
    <col customWidth="1" min="28" max="28" width="24.63"/>
    <col customWidth="1" min="29" max="29" width="36.0"/>
    <col customWidth="1" min="30" max="31" width="11.5"/>
  </cols>
  <sheetData>
    <row r="1">
      <c r="A1" s="1" t="s">
        <v>0</v>
      </c>
      <c r="B1" s="1" t="s">
        <v>1</v>
      </c>
      <c r="C1" s="1" t="s">
        <v>2</v>
      </c>
      <c r="D1" s="1" t="s">
        <v>3</v>
      </c>
      <c r="E1" s="1" t="s">
        <v>4</v>
      </c>
      <c r="F1" s="1" t="s">
        <v>5</v>
      </c>
      <c r="G1" s="1" t="s">
        <v>6</v>
      </c>
      <c r="H1" s="1" t="s">
        <v>7</v>
      </c>
      <c r="I1" s="2" t="s">
        <v>8</v>
      </c>
      <c r="J1" s="2" t="s">
        <v>9</v>
      </c>
      <c r="K1" s="3"/>
      <c r="L1" s="2" t="s">
        <v>10</v>
      </c>
      <c r="M1" s="2" t="s">
        <v>11</v>
      </c>
      <c r="N1" s="2" t="s">
        <v>12</v>
      </c>
      <c r="O1" s="3"/>
      <c r="P1" s="2" t="s">
        <v>13</v>
      </c>
      <c r="Q1" s="2" t="s">
        <v>14</v>
      </c>
      <c r="R1" s="2" t="s">
        <v>15</v>
      </c>
      <c r="S1" s="3"/>
      <c r="T1" s="2" t="s">
        <v>16</v>
      </c>
      <c r="U1" s="2" t="s">
        <v>17</v>
      </c>
      <c r="V1" s="2" t="s">
        <v>18</v>
      </c>
      <c r="W1" s="3"/>
      <c r="X1" s="2" t="s">
        <v>19</v>
      </c>
      <c r="Y1" s="2" t="s">
        <v>20</v>
      </c>
      <c r="Z1" s="3"/>
      <c r="AA1" s="3"/>
      <c r="AB1" s="4" t="s">
        <v>21</v>
      </c>
      <c r="AC1" s="4" t="s">
        <v>22</v>
      </c>
      <c r="AD1" s="5"/>
      <c r="AE1" s="5"/>
    </row>
    <row r="2" ht="15.75" customHeight="1">
      <c r="A2" s="6" t="s">
        <v>23</v>
      </c>
      <c r="B2" s="6" t="s">
        <v>24</v>
      </c>
      <c r="C2" s="7" t="s">
        <v>25</v>
      </c>
      <c r="D2" s="8" t="s">
        <v>26</v>
      </c>
      <c r="E2" s="6" t="s">
        <v>27</v>
      </c>
      <c r="F2" s="9" t="s">
        <v>28</v>
      </c>
      <c r="G2" s="9" t="s">
        <v>29</v>
      </c>
      <c r="H2" s="9" t="s">
        <v>30</v>
      </c>
      <c r="I2" s="10"/>
      <c r="J2" s="11"/>
      <c r="K2" s="12"/>
      <c r="L2" s="11"/>
      <c r="M2" s="11"/>
      <c r="N2" s="11"/>
      <c r="O2" s="12"/>
      <c r="P2" s="10"/>
      <c r="Q2" s="10"/>
      <c r="R2" s="10"/>
      <c r="S2" s="12"/>
      <c r="T2" s="10"/>
      <c r="U2" s="11"/>
      <c r="V2" s="10"/>
      <c r="W2" s="12"/>
      <c r="X2" s="10"/>
      <c r="Y2" s="11"/>
      <c r="Z2" s="12"/>
      <c r="AA2" s="12"/>
      <c r="AB2" s="11"/>
      <c r="AC2" s="11"/>
      <c r="AD2" s="13"/>
      <c r="AE2" s="13"/>
    </row>
    <row r="3" ht="15.75" customHeight="1">
      <c r="A3" s="6" t="s">
        <v>31</v>
      </c>
      <c r="B3" s="6" t="s">
        <v>24</v>
      </c>
      <c r="C3" s="14" t="s">
        <v>32</v>
      </c>
      <c r="D3" s="6" t="s">
        <v>33</v>
      </c>
      <c r="E3" s="6" t="s">
        <v>27</v>
      </c>
      <c r="F3" s="9" t="s">
        <v>34</v>
      </c>
      <c r="G3" s="9" t="s">
        <v>35</v>
      </c>
      <c r="H3" s="9" t="s">
        <v>36</v>
      </c>
      <c r="I3" s="10"/>
      <c r="J3" s="11"/>
      <c r="K3" s="12"/>
      <c r="L3" s="11"/>
      <c r="M3" s="11"/>
      <c r="N3" s="11"/>
      <c r="O3" s="12"/>
      <c r="P3" s="10"/>
      <c r="Q3" s="10"/>
      <c r="R3" s="10"/>
      <c r="S3" s="12"/>
      <c r="T3" s="10"/>
      <c r="U3" s="11"/>
      <c r="V3" s="10"/>
      <c r="W3" s="12"/>
      <c r="X3" s="10"/>
      <c r="Y3" s="11"/>
      <c r="Z3" s="12"/>
      <c r="AA3" s="12"/>
      <c r="AB3" s="11"/>
      <c r="AC3" s="15"/>
      <c r="AD3" s="13"/>
      <c r="AE3" s="13"/>
    </row>
    <row r="4" ht="15.75" customHeight="1">
      <c r="A4" s="6" t="s">
        <v>37</v>
      </c>
      <c r="B4" s="6" t="s">
        <v>24</v>
      </c>
      <c r="C4" s="14" t="s">
        <v>38</v>
      </c>
      <c r="D4" s="6" t="s">
        <v>39</v>
      </c>
      <c r="E4" s="6" t="s">
        <v>27</v>
      </c>
      <c r="F4" s="9" t="s">
        <v>40</v>
      </c>
      <c r="G4" s="9" t="s">
        <v>41</v>
      </c>
      <c r="H4" s="9" t="s">
        <v>42</v>
      </c>
      <c r="I4" s="10"/>
      <c r="J4" s="11"/>
      <c r="K4" s="12"/>
      <c r="L4" s="11"/>
      <c r="M4" s="11"/>
      <c r="N4" s="11"/>
      <c r="O4" s="12"/>
      <c r="P4" s="10"/>
      <c r="Q4" s="10"/>
      <c r="R4" s="10"/>
      <c r="S4" s="12"/>
      <c r="T4" s="10"/>
      <c r="U4" s="11"/>
      <c r="V4" s="10"/>
      <c r="W4" s="12"/>
      <c r="X4" s="10"/>
      <c r="Y4" s="11"/>
      <c r="Z4" s="12"/>
      <c r="AA4" s="12"/>
      <c r="AB4" s="11"/>
      <c r="AC4" s="15"/>
      <c r="AD4" s="13"/>
      <c r="AE4" s="13"/>
    </row>
    <row r="5" ht="15.75" customHeight="1">
      <c r="A5" s="6" t="s">
        <v>43</v>
      </c>
      <c r="B5" s="6" t="s">
        <v>24</v>
      </c>
      <c r="C5" s="14" t="s">
        <v>44</v>
      </c>
      <c r="D5" s="6" t="s">
        <v>45</v>
      </c>
      <c r="E5" s="6" t="s">
        <v>27</v>
      </c>
      <c r="F5" s="9" t="s">
        <v>46</v>
      </c>
      <c r="G5" s="9" t="s">
        <v>47</v>
      </c>
      <c r="H5" s="9" t="s">
        <v>48</v>
      </c>
      <c r="I5" s="10"/>
      <c r="J5" s="11"/>
      <c r="K5" s="12"/>
      <c r="L5" s="11"/>
      <c r="M5" s="11"/>
      <c r="N5" s="11"/>
      <c r="O5" s="12"/>
      <c r="P5" s="10"/>
      <c r="Q5" s="10"/>
      <c r="R5" s="10"/>
      <c r="S5" s="12"/>
      <c r="T5" s="10"/>
      <c r="U5" s="11"/>
      <c r="V5" s="10"/>
      <c r="W5" s="12"/>
      <c r="X5" s="10"/>
      <c r="Y5" s="11"/>
      <c r="Z5" s="12"/>
      <c r="AA5" s="12"/>
      <c r="AB5" s="11"/>
      <c r="AC5" s="15"/>
      <c r="AD5" s="13"/>
      <c r="AE5" s="13"/>
    </row>
    <row r="6" ht="15.75" customHeight="1">
      <c r="A6" s="6" t="s">
        <v>49</v>
      </c>
      <c r="B6" s="6" t="s">
        <v>24</v>
      </c>
      <c r="C6" s="14" t="s">
        <v>50</v>
      </c>
      <c r="D6" s="6" t="s">
        <v>45</v>
      </c>
      <c r="E6" s="6" t="s">
        <v>27</v>
      </c>
      <c r="F6" s="9" t="s">
        <v>51</v>
      </c>
      <c r="G6" s="9" t="s">
        <v>52</v>
      </c>
      <c r="H6" s="9" t="s">
        <v>53</v>
      </c>
      <c r="I6" s="10"/>
      <c r="J6" s="11"/>
      <c r="K6" s="12"/>
      <c r="L6" s="11"/>
      <c r="M6" s="11"/>
      <c r="N6" s="11"/>
      <c r="O6" s="12"/>
      <c r="P6" s="10"/>
      <c r="Q6" s="10"/>
      <c r="R6" s="10"/>
      <c r="S6" s="12"/>
      <c r="T6" s="10"/>
      <c r="U6" s="11"/>
      <c r="V6" s="10"/>
      <c r="W6" s="12"/>
      <c r="X6" s="10"/>
      <c r="Y6" s="11"/>
      <c r="Z6" s="12"/>
      <c r="AA6" s="12"/>
      <c r="AB6" s="11"/>
      <c r="AC6" s="15"/>
      <c r="AD6" s="13"/>
      <c r="AE6" s="13"/>
    </row>
    <row r="7" ht="15.75" customHeight="1">
      <c r="A7" s="6" t="s">
        <v>54</v>
      </c>
      <c r="B7" s="6" t="s">
        <v>24</v>
      </c>
      <c r="C7" s="7" t="s">
        <v>55</v>
      </c>
      <c r="D7" s="8" t="s">
        <v>26</v>
      </c>
      <c r="E7" s="6" t="s">
        <v>27</v>
      </c>
      <c r="F7" s="9" t="s">
        <v>56</v>
      </c>
      <c r="G7" s="9" t="s">
        <v>57</v>
      </c>
      <c r="H7" s="9" t="s">
        <v>58</v>
      </c>
      <c r="I7" s="10"/>
      <c r="J7" s="16"/>
      <c r="K7" s="12"/>
      <c r="L7" s="11"/>
      <c r="M7" s="11"/>
      <c r="N7" s="16"/>
      <c r="O7" s="12"/>
      <c r="P7" s="10"/>
      <c r="Q7" s="16"/>
      <c r="R7" s="10"/>
      <c r="S7" s="12"/>
      <c r="T7" s="10"/>
      <c r="U7" s="16"/>
      <c r="V7" s="10"/>
      <c r="W7" s="12"/>
      <c r="X7" s="10"/>
      <c r="Y7" s="16"/>
      <c r="Z7" s="12"/>
      <c r="AA7" s="12"/>
      <c r="AB7" s="16"/>
      <c r="AC7" s="15"/>
      <c r="AD7" s="17"/>
      <c r="AE7" s="17"/>
    </row>
    <row r="8" ht="15.75" customHeight="1">
      <c r="A8" s="6" t="s">
        <v>59</v>
      </c>
      <c r="B8" s="6" t="s">
        <v>24</v>
      </c>
      <c r="C8" s="14" t="s">
        <v>60</v>
      </c>
      <c r="D8" s="6" t="s">
        <v>39</v>
      </c>
      <c r="E8" s="6" t="s">
        <v>27</v>
      </c>
      <c r="F8" s="9" t="s">
        <v>61</v>
      </c>
      <c r="G8" s="9" t="s">
        <v>62</v>
      </c>
      <c r="H8" s="9" t="s">
        <v>63</v>
      </c>
      <c r="I8" s="10"/>
      <c r="J8" s="16"/>
      <c r="K8" s="12"/>
      <c r="L8" s="11"/>
      <c r="M8" s="11"/>
      <c r="N8" s="16"/>
      <c r="O8" s="12"/>
      <c r="P8" s="10"/>
      <c r="Q8" s="18"/>
      <c r="R8" s="10"/>
      <c r="S8" s="12"/>
      <c r="T8" s="10"/>
      <c r="U8" s="16"/>
      <c r="V8" s="10"/>
      <c r="W8" s="12"/>
      <c r="X8" s="10"/>
      <c r="Y8" s="16"/>
      <c r="Z8" s="12"/>
      <c r="AA8" s="12"/>
      <c r="AB8" s="16"/>
      <c r="AC8" s="15"/>
      <c r="AD8" s="17"/>
      <c r="AE8" s="17"/>
    </row>
    <row r="9" ht="15.75" customHeight="1">
      <c r="A9" s="6" t="s">
        <v>64</v>
      </c>
      <c r="B9" s="6" t="s">
        <v>24</v>
      </c>
      <c r="C9" s="14" t="s">
        <v>65</v>
      </c>
      <c r="D9" s="6" t="s">
        <v>66</v>
      </c>
      <c r="E9" s="6" t="s">
        <v>27</v>
      </c>
      <c r="F9" s="9" t="s">
        <v>67</v>
      </c>
      <c r="G9" s="9" t="s">
        <v>68</v>
      </c>
      <c r="H9" s="9" t="s">
        <v>69</v>
      </c>
      <c r="I9" s="10"/>
      <c r="J9" s="16"/>
      <c r="K9" s="12"/>
      <c r="L9" s="11"/>
      <c r="M9" s="11"/>
      <c r="N9" s="16"/>
      <c r="O9" s="12"/>
      <c r="P9" s="10"/>
      <c r="Q9" s="18"/>
      <c r="R9" s="10"/>
      <c r="S9" s="12"/>
      <c r="T9" s="10"/>
      <c r="U9" s="16"/>
      <c r="V9" s="10"/>
      <c r="W9" s="12"/>
      <c r="X9" s="10"/>
      <c r="Y9" s="16"/>
      <c r="Z9" s="12"/>
      <c r="AA9" s="12"/>
      <c r="AB9" s="16"/>
      <c r="AC9" s="19"/>
      <c r="AD9" s="17"/>
      <c r="AE9" s="17"/>
    </row>
    <row r="10" ht="15.75" customHeight="1">
      <c r="A10" s="6" t="s">
        <v>70</v>
      </c>
      <c r="B10" s="6" t="s">
        <v>24</v>
      </c>
      <c r="C10" s="14" t="s">
        <v>71</v>
      </c>
      <c r="D10" s="6" t="s">
        <v>39</v>
      </c>
      <c r="E10" s="6" t="s">
        <v>27</v>
      </c>
      <c r="F10" s="9" t="s">
        <v>72</v>
      </c>
      <c r="G10" s="9" t="s">
        <v>73</v>
      </c>
      <c r="H10" s="9" t="s">
        <v>74</v>
      </c>
      <c r="I10" s="10"/>
      <c r="J10" s="16"/>
      <c r="K10" s="12"/>
      <c r="L10" s="11"/>
      <c r="M10" s="11"/>
      <c r="N10" s="16"/>
      <c r="O10" s="12"/>
      <c r="P10" s="10"/>
      <c r="Q10" s="18"/>
      <c r="R10" s="10"/>
      <c r="S10" s="12"/>
      <c r="T10" s="10"/>
      <c r="U10" s="16"/>
      <c r="V10" s="10"/>
      <c r="W10" s="12"/>
      <c r="X10" s="10"/>
      <c r="Y10" s="16"/>
      <c r="Z10" s="12"/>
      <c r="AA10" s="12"/>
      <c r="AB10" s="16"/>
      <c r="AC10" s="19"/>
      <c r="AD10" s="17"/>
      <c r="AE10" s="17"/>
    </row>
    <row r="11" ht="15.75" customHeight="1">
      <c r="A11" s="6" t="s">
        <v>75</v>
      </c>
      <c r="B11" s="6" t="s">
        <v>24</v>
      </c>
      <c r="C11" s="14" t="s">
        <v>76</v>
      </c>
      <c r="D11" s="6" t="s">
        <v>39</v>
      </c>
      <c r="E11" s="6" t="s">
        <v>27</v>
      </c>
      <c r="F11" s="9" t="s">
        <v>77</v>
      </c>
      <c r="G11" s="9" t="s">
        <v>78</v>
      </c>
      <c r="H11" s="9" t="s">
        <v>79</v>
      </c>
      <c r="I11" s="10"/>
      <c r="J11" s="16"/>
      <c r="K11" s="12"/>
      <c r="L11" s="11"/>
      <c r="M11" s="11"/>
      <c r="N11" s="16"/>
      <c r="O11" s="12"/>
      <c r="P11" s="10"/>
      <c r="Q11" s="18"/>
      <c r="R11" s="10"/>
      <c r="S11" s="12"/>
      <c r="T11" s="10"/>
      <c r="U11" s="16"/>
      <c r="V11" s="10"/>
      <c r="W11" s="12"/>
      <c r="X11" s="10"/>
      <c r="Y11" s="16"/>
      <c r="Z11" s="12"/>
      <c r="AA11" s="12"/>
      <c r="AB11" s="16"/>
      <c r="AC11" s="15"/>
      <c r="AD11" s="17"/>
      <c r="AE11" s="17"/>
    </row>
    <row r="12" ht="15.75" customHeight="1">
      <c r="A12" s="6" t="s">
        <v>80</v>
      </c>
      <c r="B12" s="6" t="s">
        <v>24</v>
      </c>
      <c r="C12" s="7" t="s">
        <v>81</v>
      </c>
      <c r="D12" s="8" t="s">
        <v>82</v>
      </c>
      <c r="E12" s="6" t="s">
        <v>27</v>
      </c>
      <c r="F12" s="9" t="s">
        <v>83</v>
      </c>
      <c r="G12" s="9" t="s">
        <v>84</v>
      </c>
      <c r="H12" s="9" t="s">
        <v>85</v>
      </c>
      <c r="I12" s="10"/>
      <c r="J12" s="11"/>
      <c r="K12" s="12"/>
      <c r="L12" s="11"/>
      <c r="M12" s="11"/>
      <c r="N12" s="11"/>
      <c r="O12" s="12"/>
      <c r="P12" s="10"/>
      <c r="Q12" s="10"/>
      <c r="R12" s="10"/>
      <c r="S12" s="12"/>
      <c r="T12" s="10"/>
      <c r="U12" s="11"/>
      <c r="V12" s="10"/>
      <c r="W12" s="12"/>
      <c r="X12" s="10"/>
      <c r="Y12" s="11"/>
      <c r="Z12" s="12"/>
      <c r="AA12" s="12"/>
      <c r="AB12" s="11"/>
      <c r="AC12" s="15"/>
      <c r="AD12" s="13"/>
      <c r="AE12" s="13"/>
    </row>
    <row r="13" ht="15.75" customHeight="1">
      <c r="A13" s="6" t="s">
        <v>86</v>
      </c>
      <c r="B13" s="6" t="s">
        <v>24</v>
      </c>
      <c r="C13" s="14" t="s">
        <v>87</v>
      </c>
      <c r="D13" s="6" t="s">
        <v>45</v>
      </c>
      <c r="E13" s="6" t="s">
        <v>27</v>
      </c>
      <c r="F13" s="9" t="s">
        <v>88</v>
      </c>
      <c r="G13" s="9" t="s">
        <v>89</v>
      </c>
      <c r="H13" s="9" t="s">
        <v>90</v>
      </c>
      <c r="I13" s="10"/>
      <c r="J13" s="11"/>
      <c r="K13" s="12"/>
      <c r="L13" s="11"/>
      <c r="M13" s="11"/>
      <c r="N13" s="11"/>
      <c r="O13" s="12"/>
      <c r="P13" s="10"/>
      <c r="Q13" s="11"/>
      <c r="R13" s="10"/>
      <c r="S13" s="12"/>
      <c r="T13" s="10"/>
      <c r="U13" s="11"/>
      <c r="V13" s="10"/>
      <c r="W13" s="12"/>
      <c r="X13" s="10"/>
      <c r="Y13" s="11"/>
      <c r="Z13" s="12"/>
      <c r="AA13" s="12"/>
      <c r="AB13" s="11"/>
      <c r="AC13" s="10"/>
      <c r="AD13" s="13"/>
      <c r="AE13" s="13"/>
    </row>
    <row r="14" ht="15.75" customHeight="1">
      <c r="A14" s="6" t="s">
        <v>91</v>
      </c>
      <c r="B14" s="6" t="s">
        <v>24</v>
      </c>
      <c r="C14" s="14" t="s">
        <v>92</v>
      </c>
      <c r="D14" s="6" t="s">
        <v>82</v>
      </c>
      <c r="E14" s="6" t="s">
        <v>27</v>
      </c>
      <c r="F14" s="9" t="s">
        <v>93</v>
      </c>
      <c r="G14" s="9" t="s">
        <v>94</v>
      </c>
      <c r="H14" s="9" t="s">
        <v>95</v>
      </c>
      <c r="I14" s="10"/>
      <c r="J14" s="11"/>
      <c r="K14" s="12"/>
      <c r="L14" s="11"/>
      <c r="M14" s="11"/>
      <c r="N14" s="11"/>
      <c r="O14" s="12"/>
      <c r="P14" s="10"/>
      <c r="Q14" s="10"/>
      <c r="R14" s="10"/>
      <c r="S14" s="12"/>
      <c r="T14" s="10"/>
      <c r="U14" s="11"/>
      <c r="V14" s="10"/>
      <c r="W14" s="12"/>
      <c r="X14" s="10"/>
      <c r="Y14" s="11"/>
      <c r="Z14" s="12"/>
      <c r="AA14" s="12"/>
      <c r="AB14" s="11"/>
      <c r="AC14" s="15"/>
      <c r="AD14" s="13"/>
      <c r="AE14" s="13"/>
    </row>
    <row r="15" ht="15.75" customHeight="1">
      <c r="A15" s="6" t="s">
        <v>96</v>
      </c>
      <c r="B15" s="6" t="s">
        <v>24</v>
      </c>
      <c r="C15" s="14" t="s">
        <v>97</v>
      </c>
      <c r="D15" s="6" t="s">
        <v>39</v>
      </c>
      <c r="E15" s="6" t="s">
        <v>27</v>
      </c>
      <c r="F15" s="9" t="s">
        <v>98</v>
      </c>
      <c r="G15" s="9" t="s">
        <v>99</v>
      </c>
      <c r="H15" s="9" t="s">
        <v>100</v>
      </c>
      <c r="I15" s="10"/>
      <c r="J15" s="11"/>
      <c r="K15" s="12"/>
      <c r="L15" s="11"/>
      <c r="M15" s="11"/>
      <c r="N15" s="11"/>
      <c r="O15" s="12"/>
      <c r="P15" s="10"/>
      <c r="Q15" s="10"/>
      <c r="R15" s="10"/>
      <c r="S15" s="12"/>
      <c r="T15" s="10"/>
      <c r="U15" s="11"/>
      <c r="V15" s="10"/>
      <c r="W15" s="12"/>
      <c r="X15" s="10"/>
      <c r="Y15" s="11"/>
      <c r="Z15" s="12"/>
      <c r="AA15" s="12"/>
      <c r="AB15" s="11"/>
      <c r="AC15" s="15"/>
      <c r="AD15" s="13"/>
      <c r="AE15" s="13"/>
    </row>
    <row r="16" ht="15.75" customHeight="1">
      <c r="A16" s="6" t="s">
        <v>101</v>
      </c>
      <c r="B16" s="6" t="s">
        <v>24</v>
      </c>
      <c r="C16" s="14" t="s">
        <v>102</v>
      </c>
      <c r="D16" s="6" t="s">
        <v>39</v>
      </c>
      <c r="E16" s="6" t="s">
        <v>27</v>
      </c>
      <c r="F16" s="9" t="s">
        <v>103</v>
      </c>
      <c r="G16" s="9" t="s">
        <v>104</v>
      </c>
      <c r="H16" s="9" t="s">
        <v>105</v>
      </c>
      <c r="I16" s="10"/>
      <c r="J16" s="10"/>
      <c r="K16" s="12"/>
      <c r="L16" s="10"/>
      <c r="M16" s="10"/>
      <c r="N16" s="10"/>
      <c r="O16" s="12"/>
      <c r="P16" s="10"/>
      <c r="Q16" s="10"/>
      <c r="R16" s="10"/>
      <c r="S16" s="12"/>
      <c r="T16" s="10"/>
      <c r="U16" s="10"/>
      <c r="V16" s="10"/>
      <c r="W16" s="12"/>
      <c r="X16" s="10"/>
      <c r="Y16" s="11"/>
      <c r="Z16" s="12"/>
      <c r="AA16" s="12"/>
      <c r="AB16" s="11"/>
      <c r="AC16" s="20"/>
      <c r="AD16" s="13"/>
      <c r="AE16" s="13"/>
    </row>
    <row r="17" ht="15.75" customHeight="1">
      <c r="A17" s="6" t="s">
        <v>106</v>
      </c>
      <c r="B17" s="6" t="s">
        <v>24</v>
      </c>
      <c r="C17" s="7" t="s">
        <v>107</v>
      </c>
      <c r="D17" s="8" t="s">
        <v>39</v>
      </c>
      <c r="E17" s="6" t="s">
        <v>27</v>
      </c>
      <c r="F17" s="9" t="s">
        <v>108</v>
      </c>
      <c r="G17" s="9" t="s">
        <v>109</v>
      </c>
      <c r="H17" s="9" t="s">
        <v>110</v>
      </c>
      <c r="I17" s="10"/>
      <c r="J17" s="16"/>
      <c r="K17" s="12"/>
      <c r="L17" s="11"/>
      <c r="M17" s="11"/>
      <c r="N17" s="16"/>
      <c r="O17" s="12"/>
      <c r="P17" s="10"/>
      <c r="Q17" s="18"/>
      <c r="R17" s="10"/>
      <c r="S17" s="12"/>
      <c r="T17" s="10"/>
      <c r="U17" s="18"/>
      <c r="V17" s="10"/>
      <c r="W17" s="12"/>
      <c r="X17" s="10"/>
      <c r="Y17" s="16"/>
      <c r="Z17" s="12"/>
      <c r="AA17" s="12"/>
      <c r="AB17" s="16"/>
      <c r="AC17" s="18"/>
      <c r="AD17" s="17"/>
      <c r="AE17" s="17"/>
    </row>
    <row r="18" ht="15.75" customHeight="1">
      <c r="A18" s="6" t="s">
        <v>111</v>
      </c>
      <c r="B18" s="6" t="s">
        <v>24</v>
      </c>
      <c r="C18" s="14" t="s">
        <v>112</v>
      </c>
      <c r="D18" s="6" t="s">
        <v>26</v>
      </c>
      <c r="E18" s="6" t="s">
        <v>27</v>
      </c>
      <c r="F18" s="9" t="s">
        <v>113</v>
      </c>
      <c r="G18" s="9" t="s">
        <v>114</v>
      </c>
      <c r="H18" s="9" t="s">
        <v>115</v>
      </c>
      <c r="I18" s="10"/>
      <c r="J18" s="16"/>
      <c r="K18" s="12"/>
      <c r="L18" s="11"/>
      <c r="M18" s="11"/>
      <c r="N18" s="16"/>
      <c r="O18" s="12"/>
      <c r="P18" s="10"/>
      <c r="Q18" s="18"/>
      <c r="R18" s="10"/>
      <c r="S18" s="12"/>
      <c r="T18" s="10"/>
      <c r="U18" s="16"/>
      <c r="V18" s="10"/>
      <c r="W18" s="12"/>
      <c r="X18" s="10"/>
      <c r="Y18" s="18"/>
      <c r="Z18" s="12"/>
      <c r="AA18" s="12"/>
      <c r="AB18" s="16"/>
      <c r="AC18" s="16"/>
      <c r="AD18" s="17"/>
      <c r="AE18" s="17"/>
    </row>
    <row r="19" ht="15.75" customHeight="1">
      <c r="A19" s="6" t="s">
        <v>116</v>
      </c>
      <c r="B19" s="6" t="s">
        <v>24</v>
      </c>
      <c r="C19" s="14" t="s">
        <v>117</v>
      </c>
      <c r="D19" s="6" t="s">
        <v>39</v>
      </c>
      <c r="E19" s="6" t="s">
        <v>27</v>
      </c>
      <c r="F19" s="9" t="s">
        <v>118</v>
      </c>
      <c r="G19" s="9" t="s">
        <v>119</v>
      </c>
      <c r="H19" s="9" t="s">
        <v>120</v>
      </c>
      <c r="I19" s="10"/>
      <c r="J19" s="16"/>
      <c r="K19" s="12"/>
      <c r="L19" s="11"/>
      <c r="M19" s="11"/>
      <c r="N19" s="16"/>
      <c r="O19" s="12"/>
      <c r="P19" s="10"/>
      <c r="Q19" s="16"/>
      <c r="R19" s="10"/>
      <c r="S19" s="12"/>
      <c r="T19" s="10"/>
      <c r="U19" s="18"/>
      <c r="V19" s="10"/>
      <c r="W19" s="12"/>
      <c r="X19" s="10"/>
      <c r="Y19" s="18"/>
      <c r="Z19" s="12"/>
      <c r="AA19" s="12"/>
      <c r="AB19" s="16"/>
      <c r="AC19" s="16"/>
      <c r="AD19" s="17"/>
      <c r="AE19" s="17"/>
    </row>
    <row r="20" ht="15.75" customHeight="1">
      <c r="A20" s="6" t="s">
        <v>121</v>
      </c>
      <c r="B20" s="6" t="s">
        <v>24</v>
      </c>
      <c r="C20" s="14" t="s">
        <v>122</v>
      </c>
      <c r="D20" s="6" t="s">
        <v>45</v>
      </c>
      <c r="E20" s="6" t="s">
        <v>27</v>
      </c>
      <c r="F20" s="9" t="s">
        <v>123</v>
      </c>
      <c r="G20" s="9" t="s">
        <v>124</v>
      </c>
      <c r="H20" s="9" t="s">
        <v>125</v>
      </c>
      <c r="I20" s="10"/>
      <c r="J20" s="16"/>
      <c r="K20" s="12"/>
      <c r="L20" s="11"/>
      <c r="M20" s="11"/>
      <c r="N20" s="16"/>
      <c r="O20" s="12"/>
      <c r="P20" s="10"/>
      <c r="Q20" s="16"/>
      <c r="R20" s="10"/>
      <c r="S20" s="12"/>
      <c r="T20" s="10"/>
      <c r="U20" s="18"/>
      <c r="V20" s="10"/>
      <c r="W20" s="12"/>
      <c r="X20" s="10"/>
      <c r="Y20" s="18"/>
      <c r="Z20" s="12"/>
      <c r="AA20" s="12"/>
      <c r="AB20" s="16"/>
      <c r="AC20" s="16"/>
      <c r="AD20" s="17"/>
      <c r="AE20" s="17"/>
    </row>
    <row r="21" ht="15.75" customHeight="1">
      <c r="A21" s="6" t="s">
        <v>126</v>
      </c>
      <c r="B21" s="6" t="s">
        <v>24</v>
      </c>
      <c r="C21" s="14" t="s">
        <v>127</v>
      </c>
      <c r="D21" s="6" t="s">
        <v>82</v>
      </c>
      <c r="E21" s="6" t="s">
        <v>27</v>
      </c>
      <c r="F21" s="9" t="s">
        <v>128</v>
      </c>
      <c r="G21" s="9" t="s">
        <v>129</v>
      </c>
      <c r="H21" s="9" t="s">
        <v>130</v>
      </c>
      <c r="I21" s="10"/>
      <c r="J21" s="16"/>
      <c r="K21" s="12"/>
      <c r="L21" s="11"/>
      <c r="M21" s="11"/>
      <c r="N21" s="16"/>
      <c r="O21" s="12"/>
      <c r="P21" s="10"/>
      <c r="Q21" s="16"/>
      <c r="R21" s="10"/>
      <c r="S21" s="12"/>
      <c r="T21" s="10"/>
      <c r="U21" s="16"/>
      <c r="V21" s="10"/>
      <c r="W21" s="12"/>
      <c r="X21" s="10"/>
      <c r="Y21" s="16"/>
      <c r="Z21" s="12"/>
      <c r="AA21" s="12"/>
      <c r="AB21" s="16"/>
      <c r="AC21" s="16"/>
      <c r="AD21" s="17"/>
      <c r="AE21" s="17"/>
    </row>
    <row r="22" ht="15.75" customHeight="1">
      <c r="A22" s="6" t="s">
        <v>131</v>
      </c>
      <c r="B22" s="6" t="s">
        <v>24</v>
      </c>
      <c r="C22" s="7" t="s">
        <v>132</v>
      </c>
      <c r="D22" s="8" t="s">
        <v>33</v>
      </c>
      <c r="E22" s="6" t="s">
        <v>27</v>
      </c>
      <c r="F22" s="9" t="s">
        <v>133</v>
      </c>
      <c r="G22" s="9" t="s">
        <v>134</v>
      </c>
      <c r="H22" s="9" t="s">
        <v>135</v>
      </c>
      <c r="I22" s="10"/>
      <c r="J22" s="11"/>
      <c r="K22" s="12"/>
      <c r="L22" s="11"/>
      <c r="M22" s="11"/>
      <c r="N22" s="11"/>
      <c r="O22" s="12"/>
      <c r="P22" s="10"/>
      <c r="Q22" s="10"/>
      <c r="R22" s="10"/>
      <c r="S22" s="12"/>
      <c r="T22" s="10"/>
      <c r="U22" s="11"/>
      <c r="V22" s="10"/>
      <c r="W22" s="12"/>
      <c r="X22" s="10"/>
      <c r="Y22" s="11"/>
      <c r="Z22" s="12"/>
      <c r="AA22" s="12"/>
      <c r="AB22" s="21"/>
      <c r="AC22" s="15"/>
      <c r="AD22" s="13"/>
      <c r="AE22" s="22"/>
    </row>
    <row r="23" ht="15.75" customHeight="1">
      <c r="A23" s="6" t="s">
        <v>136</v>
      </c>
      <c r="B23" s="6" t="s">
        <v>24</v>
      </c>
      <c r="C23" s="14" t="s">
        <v>137</v>
      </c>
      <c r="D23" s="6" t="s">
        <v>66</v>
      </c>
      <c r="E23" s="6" t="s">
        <v>27</v>
      </c>
      <c r="F23" s="9" t="s">
        <v>138</v>
      </c>
      <c r="G23" s="9" t="s">
        <v>139</v>
      </c>
      <c r="H23" s="9" t="s">
        <v>140</v>
      </c>
      <c r="I23" s="10"/>
      <c r="J23" s="10"/>
      <c r="K23" s="12"/>
      <c r="L23" s="10"/>
      <c r="M23" s="11"/>
      <c r="N23" s="11"/>
      <c r="O23" s="12"/>
      <c r="P23" s="11"/>
      <c r="Q23" s="11"/>
      <c r="R23" s="10"/>
      <c r="S23" s="12"/>
      <c r="T23" s="11"/>
      <c r="U23" s="11"/>
      <c r="V23" s="10"/>
      <c r="W23" s="12"/>
      <c r="X23" s="11"/>
      <c r="Y23" s="11"/>
      <c r="Z23" s="12"/>
      <c r="AA23" s="12"/>
      <c r="AB23" s="11"/>
      <c r="AC23" s="20"/>
      <c r="AD23" s="13"/>
      <c r="AE23" s="13"/>
    </row>
    <row r="24" ht="15.75" customHeight="1">
      <c r="A24" s="6" t="s">
        <v>141</v>
      </c>
      <c r="B24" s="6" t="s">
        <v>24</v>
      </c>
      <c r="C24" s="14" t="s">
        <v>142</v>
      </c>
      <c r="D24" s="6" t="s">
        <v>82</v>
      </c>
      <c r="E24" s="6" t="s">
        <v>27</v>
      </c>
      <c r="F24" s="9" t="s">
        <v>143</v>
      </c>
      <c r="G24" s="9" t="s">
        <v>144</v>
      </c>
      <c r="H24" s="9" t="s">
        <v>145</v>
      </c>
      <c r="I24" s="10"/>
      <c r="J24" s="11"/>
      <c r="K24" s="12"/>
      <c r="L24" s="11"/>
      <c r="M24" s="11"/>
      <c r="N24" s="11"/>
      <c r="O24" s="12"/>
      <c r="P24" s="10"/>
      <c r="Q24" s="11"/>
      <c r="R24" s="10"/>
      <c r="S24" s="12"/>
      <c r="T24" s="10"/>
      <c r="U24" s="23"/>
      <c r="V24" s="10"/>
      <c r="W24" s="12"/>
      <c r="X24" s="10"/>
      <c r="Y24" s="11"/>
      <c r="Z24" s="12"/>
      <c r="AA24" s="12"/>
      <c r="AB24" s="21"/>
      <c r="AC24" s="24"/>
      <c r="AD24" s="13"/>
      <c r="AE24" s="22"/>
    </row>
    <row r="25" ht="15.75" customHeight="1">
      <c r="A25" s="6" t="s">
        <v>146</v>
      </c>
      <c r="B25" s="6" t="s">
        <v>147</v>
      </c>
      <c r="C25" s="14" t="s">
        <v>148</v>
      </c>
      <c r="D25" s="6" t="s">
        <v>66</v>
      </c>
      <c r="E25" s="6" t="s">
        <v>27</v>
      </c>
      <c r="F25" s="9" t="s">
        <v>149</v>
      </c>
      <c r="G25" s="9" t="s">
        <v>150</v>
      </c>
      <c r="H25" s="9" t="s">
        <v>151</v>
      </c>
      <c r="I25" s="10"/>
      <c r="J25" s="11"/>
      <c r="K25" s="12"/>
      <c r="L25" s="11"/>
      <c r="M25" s="11"/>
      <c r="N25" s="11"/>
      <c r="O25" s="12"/>
      <c r="P25" s="10"/>
      <c r="Q25" s="11"/>
      <c r="R25" s="10"/>
      <c r="S25" s="12"/>
      <c r="T25" s="10"/>
      <c r="U25" s="23"/>
      <c r="V25" s="10"/>
      <c r="W25" s="12"/>
      <c r="X25" s="10"/>
      <c r="Y25" s="11"/>
      <c r="Z25" s="12"/>
      <c r="AA25" s="12"/>
      <c r="AB25" s="21"/>
      <c r="AC25" s="24"/>
      <c r="AD25" s="13"/>
      <c r="AE25" s="22"/>
    </row>
    <row r="26" ht="15.75" customHeight="1">
      <c r="A26" s="6" t="s">
        <v>152</v>
      </c>
      <c r="B26" s="6" t="s">
        <v>147</v>
      </c>
      <c r="C26" s="14" t="s">
        <v>153</v>
      </c>
      <c r="D26" s="6" t="s">
        <v>154</v>
      </c>
      <c r="E26" s="6" t="s">
        <v>27</v>
      </c>
      <c r="F26" s="9" t="s">
        <v>155</v>
      </c>
      <c r="G26" s="9" t="s">
        <v>156</v>
      </c>
      <c r="H26" s="9" t="s">
        <v>157</v>
      </c>
      <c r="I26" s="10"/>
      <c r="J26" s="11"/>
      <c r="K26" s="12"/>
      <c r="L26" s="11"/>
      <c r="M26" s="11"/>
      <c r="N26" s="11"/>
      <c r="O26" s="12"/>
      <c r="P26" s="10"/>
      <c r="Q26" s="11"/>
      <c r="R26" s="10"/>
      <c r="S26" s="12"/>
      <c r="T26" s="10"/>
      <c r="U26" s="11"/>
      <c r="V26" s="10"/>
      <c r="W26" s="12"/>
      <c r="X26" s="10"/>
      <c r="Y26" s="11"/>
      <c r="Z26" s="12"/>
      <c r="AA26" s="12"/>
      <c r="AB26" s="11"/>
      <c r="AC26" s="10"/>
      <c r="AD26" s="13"/>
      <c r="AE26" s="13"/>
    </row>
    <row r="27" ht="15.75" customHeight="1">
      <c r="A27" s="6" t="s">
        <v>158</v>
      </c>
      <c r="B27" s="6" t="s">
        <v>147</v>
      </c>
      <c r="C27" s="7" t="s">
        <v>159</v>
      </c>
      <c r="D27" s="8" t="s">
        <v>154</v>
      </c>
      <c r="E27" s="6" t="s">
        <v>27</v>
      </c>
      <c r="F27" s="9" t="s">
        <v>160</v>
      </c>
      <c r="G27" s="9" t="s">
        <v>161</v>
      </c>
      <c r="H27" s="9" t="s">
        <v>162</v>
      </c>
      <c r="I27" s="19"/>
      <c r="J27" s="18"/>
      <c r="K27" s="25"/>
      <c r="L27" s="19"/>
      <c r="M27" s="18"/>
      <c r="N27" s="18"/>
      <c r="O27" s="25"/>
      <c r="P27" s="19"/>
      <c r="Q27" s="18"/>
      <c r="R27" s="10"/>
      <c r="S27" s="25"/>
      <c r="T27" s="19"/>
      <c r="U27" s="18"/>
      <c r="V27" s="10"/>
      <c r="W27" s="25"/>
      <c r="X27" s="19"/>
      <c r="Y27" s="18"/>
      <c r="Z27" s="25"/>
      <c r="AA27" s="25"/>
      <c r="AB27" s="18"/>
      <c r="AC27" s="18"/>
      <c r="AD27" s="17"/>
      <c r="AE27" s="17"/>
    </row>
    <row r="28" ht="15.75" customHeight="1">
      <c r="A28" s="6" t="s">
        <v>163</v>
      </c>
      <c r="B28" s="6" t="s">
        <v>147</v>
      </c>
      <c r="C28" s="14" t="s">
        <v>164</v>
      </c>
      <c r="D28" s="6" t="s">
        <v>165</v>
      </c>
      <c r="E28" s="6" t="s">
        <v>27</v>
      </c>
      <c r="F28" s="9" t="s">
        <v>166</v>
      </c>
      <c r="G28" s="9" t="s">
        <v>167</v>
      </c>
      <c r="H28" s="9" t="s">
        <v>168</v>
      </c>
      <c r="I28" s="19"/>
      <c r="J28" s="18"/>
      <c r="K28" s="25"/>
      <c r="L28" s="18"/>
      <c r="M28" s="18"/>
      <c r="N28" s="18"/>
      <c r="O28" s="25"/>
      <c r="P28" s="19"/>
      <c r="Q28" s="19"/>
      <c r="R28" s="10"/>
      <c r="S28" s="25"/>
      <c r="T28" s="19"/>
      <c r="U28" s="18"/>
      <c r="V28" s="10"/>
      <c r="W28" s="25"/>
      <c r="X28" s="19"/>
      <c r="Y28" s="19"/>
      <c r="Z28" s="25"/>
      <c r="AA28" s="25"/>
      <c r="AB28" s="18"/>
      <c r="AC28" s="19"/>
      <c r="AD28" s="17"/>
      <c r="AE28" s="17"/>
    </row>
    <row r="29" ht="15.75" customHeight="1">
      <c r="A29" s="6" t="s">
        <v>169</v>
      </c>
      <c r="B29" s="6" t="s">
        <v>147</v>
      </c>
      <c r="C29" s="14" t="s">
        <v>170</v>
      </c>
      <c r="D29" s="6" t="s">
        <v>26</v>
      </c>
      <c r="E29" s="6" t="s">
        <v>27</v>
      </c>
      <c r="F29" s="9" t="s">
        <v>171</v>
      </c>
      <c r="G29" s="9" t="s">
        <v>172</v>
      </c>
      <c r="H29" s="9" t="s">
        <v>173</v>
      </c>
      <c r="I29" s="19"/>
      <c r="J29" s="19"/>
      <c r="K29" s="25"/>
      <c r="L29" s="19"/>
      <c r="M29" s="19"/>
      <c r="N29" s="19"/>
      <c r="O29" s="25"/>
      <c r="P29" s="19"/>
      <c r="Q29" s="19"/>
      <c r="R29" s="10"/>
      <c r="S29" s="25"/>
      <c r="T29" s="19"/>
      <c r="U29" s="18"/>
      <c r="V29" s="10"/>
      <c r="W29" s="25"/>
      <c r="X29" s="19"/>
      <c r="Y29" s="18"/>
      <c r="Z29" s="25"/>
      <c r="AA29" s="25"/>
      <c r="AB29" s="18"/>
      <c r="AC29" s="19"/>
      <c r="AD29" s="17"/>
      <c r="AE29" s="17"/>
    </row>
    <row r="30" ht="15.75" customHeight="1">
      <c r="A30" s="6" t="s">
        <v>174</v>
      </c>
      <c r="B30" s="6" t="s">
        <v>147</v>
      </c>
      <c r="C30" s="14" t="s">
        <v>175</v>
      </c>
      <c r="D30" s="6" t="s">
        <v>154</v>
      </c>
      <c r="E30" s="6" t="s">
        <v>27</v>
      </c>
      <c r="F30" s="9" t="s">
        <v>176</v>
      </c>
      <c r="G30" s="9" t="s">
        <v>177</v>
      </c>
      <c r="H30" s="9" t="s">
        <v>178</v>
      </c>
      <c r="I30" s="19"/>
      <c r="J30" s="19"/>
      <c r="K30" s="25"/>
      <c r="L30" s="19"/>
      <c r="M30" s="19"/>
      <c r="N30" s="19"/>
      <c r="O30" s="25"/>
      <c r="P30" s="19"/>
      <c r="Q30" s="19"/>
      <c r="R30" s="10"/>
      <c r="S30" s="25"/>
      <c r="T30" s="19"/>
      <c r="U30" s="18"/>
      <c r="V30" s="10"/>
      <c r="W30" s="25"/>
      <c r="X30" s="19"/>
      <c r="Y30" s="18"/>
      <c r="Z30" s="25"/>
      <c r="AA30" s="25"/>
      <c r="AB30" s="18"/>
      <c r="AC30" s="19"/>
      <c r="AD30" s="17"/>
      <c r="AE30" s="17"/>
    </row>
    <row r="31" ht="15.75" customHeight="1">
      <c r="A31" s="6" t="s">
        <v>179</v>
      </c>
      <c r="B31" s="6" t="s">
        <v>147</v>
      </c>
      <c r="C31" s="14" t="s">
        <v>180</v>
      </c>
      <c r="D31" s="6" t="s">
        <v>154</v>
      </c>
      <c r="E31" s="6" t="s">
        <v>27</v>
      </c>
      <c r="F31" s="9" t="s">
        <v>181</v>
      </c>
      <c r="G31" s="9" t="s">
        <v>182</v>
      </c>
      <c r="H31" s="9" t="s">
        <v>183</v>
      </c>
      <c r="I31" s="19"/>
      <c r="J31" s="19"/>
      <c r="K31" s="25"/>
      <c r="L31" s="19"/>
      <c r="M31" s="19"/>
      <c r="N31" s="19"/>
      <c r="O31" s="25"/>
      <c r="P31" s="19"/>
      <c r="Q31" s="19"/>
      <c r="R31" s="10"/>
      <c r="S31" s="25"/>
      <c r="T31" s="19"/>
      <c r="U31" s="18"/>
      <c r="V31" s="10"/>
      <c r="W31" s="25"/>
      <c r="X31" s="19"/>
      <c r="Y31" s="19"/>
      <c r="Z31" s="25"/>
      <c r="AA31" s="25"/>
      <c r="AB31" s="18"/>
      <c r="AC31" s="19"/>
      <c r="AD31" s="17"/>
      <c r="AE31" s="17"/>
    </row>
    <row r="32" ht="15.75" customHeight="1">
      <c r="A32" s="6" t="s">
        <v>184</v>
      </c>
      <c r="B32" s="6" t="s">
        <v>147</v>
      </c>
      <c r="C32" s="7" t="s">
        <v>185</v>
      </c>
      <c r="D32" s="8" t="s">
        <v>154</v>
      </c>
      <c r="E32" s="6" t="s">
        <v>27</v>
      </c>
      <c r="F32" s="9" t="s">
        <v>186</v>
      </c>
      <c r="G32" s="9" t="s">
        <v>187</v>
      </c>
      <c r="H32" s="9" t="s">
        <v>188</v>
      </c>
      <c r="I32" s="26"/>
      <c r="J32" s="10"/>
      <c r="K32" s="25"/>
      <c r="L32" s="10"/>
      <c r="M32" s="10"/>
      <c r="N32" s="10"/>
      <c r="O32" s="25"/>
      <c r="P32" s="26"/>
      <c r="Q32" s="26"/>
      <c r="R32" s="10"/>
      <c r="S32" s="25"/>
      <c r="T32" s="26"/>
      <c r="U32" s="10"/>
      <c r="V32" s="10"/>
      <c r="W32" s="25"/>
      <c r="X32" s="26"/>
      <c r="Y32" s="10"/>
      <c r="Z32" s="25"/>
      <c r="AA32" s="25"/>
      <c r="AB32" s="10"/>
      <c r="AC32" s="26"/>
      <c r="AD32" s="13"/>
      <c r="AE32" s="13"/>
    </row>
    <row r="33" ht="15.75" customHeight="1">
      <c r="A33" s="6" t="s">
        <v>189</v>
      </c>
      <c r="B33" s="6" t="s">
        <v>147</v>
      </c>
      <c r="C33" s="14" t="s">
        <v>190</v>
      </c>
      <c r="D33" s="6" t="s">
        <v>154</v>
      </c>
      <c r="E33" s="6" t="s">
        <v>27</v>
      </c>
      <c r="F33" s="9" t="s">
        <v>191</v>
      </c>
      <c r="G33" s="9" t="s">
        <v>192</v>
      </c>
      <c r="H33" s="9" t="s">
        <v>193</v>
      </c>
      <c r="I33" s="26"/>
      <c r="J33" s="10"/>
      <c r="K33" s="25"/>
      <c r="L33" s="10"/>
      <c r="M33" s="10"/>
      <c r="N33" s="10"/>
      <c r="O33" s="25"/>
      <c r="P33" s="26"/>
      <c r="Q33" s="26"/>
      <c r="R33" s="10"/>
      <c r="S33" s="25"/>
      <c r="T33" s="26"/>
      <c r="U33" s="10"/>
      <c r="V33" s="10"/>
      <c r="W33" s="25"/>
      <c r="X33" s="26"/>
      <c r="Y33" s="26"/>
      <c r="Z33" s="25"/>
      <c r="AA33" s="25"/>
      <c r="AB33" s="10"/>
      <c r="AC33" s="26"/>
      <c r="AD33" s="13"/>
      <c r="AE33" s="13"/>
    </row>
    <row r="34" ht="15.75" customHeight="1">
      <c r="A34" s="6" t="s">
        <v>194</v>
      </c>
      <c r="B34" s="6" t="s">
        <v>147</v>
      </c>
      <c r="C34" s="14" t="s">
        <v>195</v>
      </c>
      <c r="D34" s="6" t="s">
        <v>33</v>
      </c>
      <c r="E34" s="6" t="s">
        <v>27</v>
      </c>
      <c r="F34" s="9" t="s">
        <v>196</v>
      </c>
      <c r="G34" s="9" t="s">
        <v>197</v>
      </c>
      <c r="H34" s="9" t="s">
        <v>198</v>
      </c>
      <c r="I34" s="26"/>
      <c r="J34" s="10"/>
      <c r="K34" s="25"/>
      <c r="L34" s="10"/>
      <c r="M34" s="10"/>
      <c r="N34" s="10"/>
      <c r="O34" s="25"/>
      <c r="P34" s="26"/>
      <c r="Q34" s="26"/>
      <c r="R34" s="10"/>
      <c r="S34" s="25"/>
      <c r="T34" s="26"/>
      <c r="U34" s="10"/>
      <c r="V34" s="10"/>
      <c r="W34" s="25"/>
      <c r="X34" s="26"/>
      <c r="Y34" s="10"/>
      <c r="Z34" s="25"/>
      <c r="AA34" s="25"/>
      <c r="AB34" s="10"/>
      <c r="AC34" s="26"/>
      <c r="AD34" s="13"/>
      <c r="AE34" s="13"/>
    </row>
    <row r="35" ht="15.75" customHeight="1">
      <c r="A35" s="6" t="s">
        <v>199</v>
      </c>
      <c r="B35" s="6" t="s">
        <v>147</v>
      </c>
      <c r="C35" s="14" t="s">
        <v>200</v>
      </c>
      <c r="D35" s="6" t="s">
        <v>154</v>
      </c>
      <c r="E35" s="6" t="s">
        <v>27</v>
      </c>
      <c r="F35" s="9" t="s">
        <v>201</v>
      </c>
      <c r="G35" s="9" t="s">
        <v>202</v>
      </c>
      <c r="H35" s="9" t="s">
        <v>203</v>
      </c>
      <c r="I35" s="26"/>
      <c r="J35" s="10"/>
      <c r="K35" s="25"/>
      <c r="L35" s="10"/>
      <c r="M35" s="10"/>
      <c r="N35" s="10"/>
      <c r="O35" s="25"/>
      <c r="P35" s="26"/>
      <c r="Q35" s="26"/>
      <c r="R35" s="10"/>
      <c r="S35" s="25"/>
      <c r="T35" s="26"/>
      <c r="U35" s="10"/>
      <c r="V35" s="10"/>
      <c r="W35" s="25"/>
      <c r="X35" s="26"/>
      <c r="Y35" s="10"/>
      <c r="Z35" s="25"/>
      <c r="AA35" s="25"/>
      <c r="AB35" s="10"/>
      <c r="AC35" s="26"/>
      <c r="AD35" s="13"/>
      <c r="AE35" s="13"/>
    </row>
    <row r="36" ht="15.75" customHeight="1">
      <c r="A36" s="6" t="s">
        <v>204</v>
      </c>
      <c r="B36" s="6" t="s">
        <v>147</v>
      </c>
      <c r="C36" s="14" t="s">
        <v>205</v>
      </c>
      <c r="D36" s="6" t="s">
        <v>26</v>
      </c>
      <c r="E36" s="6" t="s">
        <v>27</v>
      </c>
      <c r="F36" s="9" t="s">
        <v>206</v>
      </c>
      <c r="G36" s="9" t="s">
        <v>207</v>
      </c>
      <c r="H36" s="9" t="s">
        <v>208</v>
      </c>
      <c r="I36" s="26"/>
      <c r="J36" s="10"/>
      <c r="K36" s="25"/>
      <c r="L36" s="10"/>
      <c r="M36" s="10"/>
      <c r="N36" s="10"/>
      <c r="O36" s="25"/>
      <c r="P36" s="26"/>
      <c r="Q36" s="26"/>
      <c r="R36" s="10"/>
      <c r="S36" s="25"/>
      <c r="T36" s="26"/>
      <c r="U36" s="10"/>
      <c r="V36" s="10"/>
      <c r="W36" s="25"/>
      <c r="X36" s="26"/>
      <c r="Y36" s="10"/>
      <c r="Z36" s="25"/>
      <c r="AA36" s="25"/>
      <c r="AB36" s="10"/>
      <c r="AC36" s="26"/>
      <c r="AD36" s="13"/>
      <c r="AE36" s="13"/>
    </row>
    <row r="37" ht="15.75" customHeight="1">
      <c r="A37" s="6" t="s">
        <v>209</v>
      </c>
      <c r="B37" s="6" t="s">
        <v>147</v>
      </c>
      <c r="C37" s="7" t="s">
        <v>210</v>
      </c>
      <c r="D37" s="8" t="s">
        <v>154</v>
      </c>
      <c r="E37" s="6" t="s">
        <v>27</v>
      </c>
      <c r="F37" s="9" t="s">
        <v>211</v>
      </c>
      <c r="G37" s="9" t="s">
        <v>212</v>
      </c>
      <c r="H37" s="9" t="s">
        <v>213</v>
      </c>
      <c r="I37" s="26"/>
      <c r="J37" s="18"/>
      <c r="K37" s="25"/>
      <c r="L37" s="18"/>
      <c r="M37" s="18"/>
      <c r="N37" s="18"/>
      <c r="O37" s="25"/>
      <c r="P37" s="19"/>
      <c r="Q37" s="19"/>
      <c r="R37" s="10"/>
      <c r="S37" s="25"/>
      <c r="T37" s="19"/>
      <c r="U37" s="19"/>
      <c r="V37" s="10"/>
      <c r="W37" s="25"/>
      <c r="X37" s="19"/>
      <c r="Y37" s="18"/>
      <c r="Z37" s="25"/>
      <c r="AA37" s="25"/>
      <c r="AB37" s="18"/>
      <c r="AC37" s="19"/>
      <c r="AD37" s="17"/>
      <c r="AE37" s="17"/>
    </row>
    <row r="38" ht="15.75" customHeight="1">
      <c r="A38" s="6" t="s">
        <v>214</v>
      </c>
      <c r="B38" s="6" t="s">
        <v>147</v>
      </c>
      <c r="C38" s="14" t="s">
        <v>215</v>
      </c>
      <c r="D38" s="6" t="s">
        <v>26</v>
      </c>
      <c r="E38" s="6" t="s">
        <v>27</v>
      </c>
      <c r="F38" s="9" t="s">
        <v>216</v>
      </c>
      <c r="G38" s="9" t="s">
        <v>217</v>
      </c>
      <c r="H38" s="9" t="s">
        <v>218</v>
      </c>
      <c r="I38" s="26"/>
      <c r="J38" s="18"/>
      <c r="K38" s="25"/>
      <c r="L38" s="18"/>
      <c r="M38" s="18"/>
      <c r="N38" s="18"/>
      <c r="O38" s="25"/>
      <c r="P38" s="19"/>
      <c r="Q38" s="18"/>
      <c r="R38" s="10"/>
      <c r="S38" s="25"/>
      <c r="T38" s="19"/>
      <c r="U38" s="18"/>
      <c r="V38" s="10"/>
      <c r="W38" s="25"/>
      <c r="X38" s="19"/>
      <c r="Y38" s="18"/>
      <c r="Z38" s="25"/>
      <c r="AA38" s="25"/>
      <c r="AB38" s="18"/>
      <c r="AC38" s="18"/>
      <c r="AD38" s="17"/>
      <c r="AE38" s="17"/>
    </row>
    <row r="39" ht="15.75" customHeight="1">
      <c r="A39" s="6" t="s">
        <v>219</v>
      </c>
      <c r="B39" s="6" t="s">
        <v>147</v>
      </c>
      <c r="C39" s="14" t="s">
        <v>220</v>
      </c>
      <c r="D39" s="6" t="s">
        <v>154</v>
      </c>
      <c r="E39" s="6" t="s">
        <v>27</v>
      </c>
      <c r="F39" s="9" t="s">
        <v>221</v>
      </c>
      <c r="G39" s="9" t="s">
        <v>222</v>
      </c>
      <c r="H39" s="9" t="s">
        <v>223</v>
      </c>
      <c r="I39" s="26"/>
      <c r="J39" s="18"/>
      <c r="K39" s="25"/>
      <c r="L39" s="18"/>
      <c r="M39" s="18"/>
      <c r="N39" s="18"/>
      <c r="O39" s="25"/>
      <c r="P39" s="19"/>
      <c r="Q39" s="18"/>
      <c r="R39" s="10"/>
      <c r="S39" s="25"/>
      <c r="T39" s="19"/>
      <c r="U39" s="18"/>
      <c r="V39" s="10"/>
      <c r="W39" s="25"/>
      <c r="X39" s="19"/>
      <c r="Y39" s="18"/>
      <c r="Z39" s="25"/>
      <c r="AA39" s="25"/>
      <c r="AB39" s="18"/>
      <c r="AC39" s="18"/>
      <c r="AD39" s="17"/>
      <c r="AE39" s="17"/>
    </row>
    <row r="40" ht="15.75" customHeight="1">
      <c r="A40" s="6" t="s">
        <v>224</v>
      </c>
      <c r="B40" s="6" t="s">
        <v>147</v>
      </c>
      <c r="C40" s="14" t="s">
        <v>225</v>
      </c>
      <c r="D40" s="6" t="s">
        <v>66</v>
      </c>
      <c r="E40" s="6" t="s">
        <v>27</v>
      </c>
      <c r="F40" s="9" t="s">
        <v>226</v>
      </c>
      <c r="G40" s="9" t="s">
        <v>227</v>
      </c>
      <c r="H40" s="9" t="s">
        <v>228</v>
      </c>
      <c r="I40" s="26"/>
      <c r="J40" s="18"/>
      <c r="K40" s="25"/>
      <c r="L40" s="18"/>
      <c r="M40" s="18"/>
      <c r="N40" s="18"/>
      <c r="O40" s="25"/>
      <c r="P40" s="19"/>
      <c r="Q40" s="18"/>
      <c r="R40" s="10"/>
      <c r="S40" s="25"/>
      <c r="T40" s="19"/>
      <c r="U40" s="18"/>
      <c r="V40" s="10"/>
      <c r="W40" s="25"/>
      <c r="X40" s="19"/>
      <c r="Y40" s="18"/>
      <c r="Z40" s="25"/>
      <c r="AA40" s="25"/>
      <c r="AB40" s="18"/>
      <c r="AC40" s="18"/>
      <c r="AD40" s="17"/>
      <c r="AE40" s="17"/>
    </row>
    <row r="41" ht="15.75" customHeight="1">
      <c r="A41" s="6" t="s">
        <v>229</v>
      </c>
      <c r="B41" s="6" t="s">
        <v>147</v>
      </c>
      <c r="C41" s="14" t="s">
        <v>230</v>
      </c>
      <c r="D41" s="6" t="s">
        <v>165</v>
      </c>
      <c r="E41" s="6" t="s">
        <v>27</v>
      </c>
      <c r="F41" s="9" t="s">
        <v>231</v>
      </c>
      <c r="G41" s="9" t="s">
        <v>232</v>
      </c>
      <c r="H41" s="9" t="s">
        <v>233</v>
      </c>
      <c r="I41" s="19"/>
      <c r="J41" s="19"/>
      <c r="K41" s="25"/>
      <c r="L41" s="19"/>
      <c r="M41" s="19"/>
      <c r="N41" s="19"/>
      <c r="O41" s="25"/>
      <c r="P41" s="19"/>
      <c r="Q41" s="18"/>
      <c r="R41" s="10"/>
      <c r="S41" s="25"/>
      <c r="T41" s="19"/>
      <c r="U41" s="18"/>
      <c r="V41" s="10"/>
      <c r="W41" s="25"/>
      <c r="X41" s="19"/>
      <c r="Y41" s="19"/>
      <c r="Z41" s="25"/>
      <c r="AA41" s="25"/>
      <c r="AB41" s="18"/>
      <c r="AC41" s="19"/>
      <c r="AD41" s="17"/>
      <c r="AE41" s="17"/>
    </row>
    <row r="42" ht="15.75" customHeight="1">
      <c r="A42" s="6" t="s">
        <v>234</v>
      </c>
      <c r="B42" s="6" t="s">
        <v>147</v>
      </c>
      <c r="C42" s="7" t="s">
        <v>235</v>
      </c>
      <c r="D42" s="8" t="s">
        <v>45</v>
      </c>
      <c r="E42" s="6" t="s">
        <v>27</v>
      </c>
      <c r="F42" s="9" t="s">
        <v>236</v>
      </c>
      <c r="G42" s="9" t="s">
        <v>237</v>
      </c>
      <c r="H42" s="9" t="s">
        <v>238</v>
      </c>
      <c r="I42" s="26"/>
      <c r="J42" s="10"/>
      <c r="K42" s="25"/>
      <c r="L42" s="10"/>
      <c r="M42" s="10"/>
      <c r="N42" s="10"/>
      <c r="O42" s="25"/>
      <c r="P42" s="26"/>
      <c r="Q42" s="26"/>
      <c r="R42" s="10"/>
      <c r="S42" s="25"/>
      <c r="T42" s="26"/>
      <c r="U42" s="10"/>
      <c r="V42" s="10"/>
      <c r="W42" s="25"/>
      <c r="X42" s="26"/>
      <c r="Y42" s="10"/>
      <c r="Z42" s="25"/>
      <c r="AA42" s="25"/>
      <c r="AB42" s="10"/>
      <c r="AC42" s="26"/>
      <c r="AD42" s="13"/>
      <c r="AE42" s="13"/>
    </row>
    <row r="43" ht="15.75" customHeight="1">
      <c r="A43" s="6" t="s">
        <v>239</v>
      </c>
      <c r="B43" s="6" t="s">
        <v>147</v>
      </c>
      <c r="C43" s="14" t="s">
        <v>240</v>
      </c>
      <c r="D43" s="6" t="s">
        <v>165</v>
      </c>
      <c r="E43" s="6" t="s">
        <v>27</v>
      </c>
      <c r="F43" s="9" t="s">
        <v>241</v>
      </c>
      <c r="G43" s="9" t="s">
        <v>242</v>
      </c>
      <c r="H43" s="9" t="s">
        <v>243</v>
      </c>
      <c r="I43" s="26"/>
      <c r="J43" s="10"/>
      <c r="K43" s="25"/>
      <c r="L43" s="26"/>
      <c r="M43" s="10"/>
      <c r="N43" s="10"/>
      <c r="O43" s="25"/>
      <c r="P43" s="26"/>
      <c r="Q43" s="26"/>
      <c r="R43" s="10"/>
      <c r="S43" s="25"/>
      <c r="T43" s="26"/>
      <c r="U43" s="10"/>
      <c r="V43" s="10"/>
      <c r="W43" s="25"/>
      <c r="X43" s="26"/>
      <c r="Y43" s="26"/>
      <c r="Z43" s="25"/>
      <c r="AA43" s="25"/>
      <c r="AB43" s="26"/>
      <c r="AC43" s="26"/>
      <c r="AD43" s="13"/>
      <c r="AE43" s="27"/>
    </row>
    <row r="44" ht="15.75" customHeight="1">
      <c r="A44" s="6" t="s">
        <v>244</v>
      </c>
      <c r="B44" s="6" t="s">
        <v>147</v>
      </c>
      <c r="C44" s="14" t="s">
        <v>245</v>
      </c>
      <c r="D44" s="6" t="s">
        <v>154</v>
      </c>
      <c r="E44" s="6" t="s">
        <v>27</v>
      </c>
      <c r="F44" s="9" t="s">
        <v>246</v>
      </c>
      <c r="G44" s="9" t="s">
        <v>247</v>
      </c>
      <c r="H44" s="9" t="s">
        <v>248</v>
      </c>
      <c r="I44" s="26"/>
      <c r="J44" s="10"/>
      <c r="K44" s="25"/>
      <c r="L44" s="10"/>
      <c r="M44" s="10"/>
      <c r="N44" s="10"/>
      <c r="O44" s="25"/>
      <c r="P44" s="26"/>
      <c r="Q44" s="26"/>
      <c r="R44" s="10"/>
      <c r="S44" s="25"/>
      <c r="T44" s="26"/>
      <c r="U44" s="10"/>
      <c r="V44" s="10"/>
      <c r="W44" s="25"/>
      <c r="X44" s="26"/>
      <c r="Y44" s="10"/>
      <c r="Z44" s="25"/>
      <c r="AA44" s="25"/>
      <c r="AB44" s="26"/>
      <c r="AC44" s="26"/>
      <c r="AD44" s="13"/>
      <c r="AE44" s="27"/>
    </row>
    <row r="45" ht="15.75" customHeight="1">
      <c r="A45" s="6" t="s">
        <v>249</v>
      </c>
      <c r="B45" s="6" t="s">
        <v>147</v>
      </c>
      <c r="C45" s="14" t="s">
        <v>250</v>
      </c>
      <c r="D45" s="6" t="s">
        <v>154</v>
      </c>
      <c r="E45" s="6" t="s">
        <v>27</v>
      </c>
      <c r="F45" s="9" t="s">
        <v>251</v>
      </c>
      <c r="G45" s="9" t="s">
        <v>252</v>
      </c>
      <c r="H45" s="9" t="s">
        <v>253</v>
      </c>
      <c r="I45" s="26"/>
      <c r="J45" s="10"/>
      <c r="K45" s="25"/>
      <c r="L45" s="10"/>
      <c r="M45" s="10"/>
      <c r="N45" s="10"/>
      <c r="O45" s="25"/>
      <c r="P45" s="26"/>
      <c r="Q45" s="26"/>
      <c r="R45" s="10"/>
      <c r="S45" s="25"/>
      <c r="T45" s="26"/>
      <c r="U45" s="10"/>
      <c r="V45" s="10"/>
      <c r="W45" s="25"/>
      <c r="X45" s="26"/>
      <c r="Y45" s="10"/>
      <c r="Z45" s="25"/>
      <c r="AA45" s="25"/>
      <c r="AB45" s="26"/>
      <c r="AC45" s="26"/>
      <c r="AD45" s="13"/>
      <c r="AE45" s="27"/>
    </row>
    <row r="46" ht="15.75" customHeight="1">
      <c r="A46" s="6" t="s">
        <v>254</v>
      </c>
      <c r="B46" s="6" t="s">
        <v>147</v>
      </c>
      <c r="C46" s="14" t="s">
        <v>255</v>
      </c>
      <c r="D46" s="6" t="s">
        <v>45</v>
      </c>
      <c r="E46" s="6" t="s">
        <v>27</v>
      </c>
      <c r="F46" s="9" t="s">
        <v>256</v>
      </c>
      <c r="G46" s="9" t="s">
        <v>257</v>
      </c>
      <c r="H46" s="9" t="s">
        <v>258</v>
      </c>
      <c r="I46" s="26"/>
      <c r="J46" s="10"/>
      <c r="K46" s="25"/>
      <c r="L46" s="10"/>
      <c r="M46" s="10"/>
      <c r="N46" s="10"/>
      <c r="O46" s="25"/>
      <c r="P46" s="26"/>
      <c r="Q46" s="10"/>
      <c r="R46" s="10"/>
      <c r="S46" s="25"/>
      <c r="T46" s="26"/>
      <c r="U46" s="10"/>
      <c r="V46" s="10"/>
      <c r="W46" s="25"/>
      <c r="X46" s="26"/>
      <c r="Y46" s="10"/>
      <c r="Z46" s="25"/>
      <c r="AA46" s="25"/>
      <c r="AB46" s="26"/>
      <c r="AC46" s="26"/>
      <c r="AD46" s="13"/>
      <c r="AE46" s="27"/>
    </row>
    <row r="47" ht="15.75" customHeight="1">
      <c r="A47" s="6" t="s">
        <v>259</v>
      </c>
      <c r="B47" s="6" t="s">
        <v>260</v>
      </c>
      <c r="C47" s="7" t="s">
        <v>261</v>
      </c>
      <c r="D47" s="8" t="s">
        <v>154</v>
      </c>
      <c r="E47" s="6" t="s">
        <v>27</v>
      </c>
      <c r="F47" s="9" t="s">
        <v>262</v>
      </c>
      <c r="G47" s="9" t="s">
        <v>263</v>
      </c>
      <c r="H47" s="9" t="s">
        <v>264</v>
      </c>
      <c r="I47" s="26"/>
      <c r="J47" s="18"/>
      <c r="K47" s="25"/>
      <c r="L47" s="18"/>
      <c r="M47" s="18"/>
      <c r="N47" s="18"/>
      <c r="O47" s="25"/>
      <c r="P47" s="19"/>
      <c r="Q47" s="19"/>
      <c r="R47" s="10"/>
      <c r="S47" s="25"/>
      <c r="T47" s="19"/>
      <c r="U47" s="18"/>
      <c r="V47" s="10"/>
      <c r="W47" s="25"/>
      <c r="X47" s="19"/>
      <c r="Y47" s="18"/>
      <c r="Z47" s="25"/>
      <c r="AA47" s="25"/>
      <c r="AB47" s="19"/>
      <c r="AC47" s="19"/>
      <c r="AD47" s="17"/>
      <c r="AE47" s="28"/>
    </row>
    <row r="48" ht="15.75" customHeight="1">
      <c r="A48" s="6" t="s">
        <v>265</v>
      </c>
      <c r="B48" s="6" t="s">
        <v>260</v>
      </c>
      <c r="C48" s="14" t="s">
        <v>266</v>
      </c>
      <c r="D48" s="6" t="s">
        <v>82</v>
      </c>
      <c r="E48" s="6" t="s">
        <v>27</v>
      </c>
      <c r="F48" s="9" t="s">
        <v>267</v>
      </c>
      <c r="G48" s="9" t="s">
        <v>268</v>
      </c>
      <c r="H48" s="9" t="s">
        <v>269</v>
      </c>
      <c r="I48" s="26"/>
      <c r="J48" s="18"/>
      <c r="K48" s="25"/>
      <c r="L48" s="18"/>
      <c r="M48" s="18"/>
      <c r="N48" s="18"/>
      <c r="O48" s="25"/>
      <c r="P48" s="19"/>
      <c r="Q48" s="18"/>
      <c r="R48" s="10"/>
      <c r="S48" s="25"/>
      <c r="T48" s="19"/>
      <c r="U48" s="18"/>
      <c r="V48" s="10"/>
      <c r="W48" s="25"/>
      <c r="X48" s="19"/>
      <c r="Y48" s="18"/>
      <c r="Z48" s="25"/>
      <c r="AA48" s="25"/>
      <c r="AB48" s="19"/>
      <c r="AC48" s="19"/>
      <c r="AD48" s="17"/>
      <c r="AE48" s="28"/>
    </row>
    <row r="49" ht="15.75" customHeight="1">
      <c r="A49" s="6" t="s">
        <v>270</v>
      </c>
      <c r="B49" s="6" t="s">
        <v>260</v>
      </c>
      <c r="C49" s="14" t="s">
        <v>271</v>
      </c>
      <c r="D49" s="6" t="s">
        <v>45</v>
      </c>
      <c r="E49" s="6" t="s">
        <v>27</v>
      </c>
      <c r="F49" s="9" t="s">
        <v>272</v>
      </c>
      <c r="G49" s="9" t="s">
        <v>273</v>
      </c>
      <c r="H49" s="9" t="s">
        <v>274</v>
      </c>
      <c r="I49" s="26"/>
      <c r="J49" s="18"/>
      <c r="K49" s="25"/>
      <c r="L49" s="18"/>
      <c r="M49" s="18"/>
      <c r="N49" s="18"/>
      <c r="O49" s="25"/>
      <c r="P49" s="19"/>
      <c r="Q49" s="18"/>
      <c r="R49" s="10"/>
      <c r="S49" s="25"/>
      <c r="T49" s="19"/>
      <c r="U49" s="18"/>
      <c r="V49" s="10"/>
      <c r="W49" s="25"/>
      <c r="X49" s="19"/>
      <c r="Y49" s="18"/>
      <c r="Z49" s="25"/>
      <c r="AA49" s="25"/>
      <c r="AB49" s="19"/>
      <c r="AC49" s="19"/>
      <c r="AD49" s="17"/>
      <c r="AE49" s="17"/>
    </row>
    <row r="50" ht="15.75" customHeight="1">
      <c r="A50" s="6" t="s">
        <v>275</v>
      </c>
      <c r="B50" s="6" t="s">
        <v>260</v>
      </c>
      <c r="C50" s="14" t="s">
        <v>276</v>
      </c>
      <c r="D50" s="6" t="s">
        <v>82</v>
      </c>
      <c r="E50" s="6" t="s">
        <v>27</v>
      </c>
      <c r="F50" s="9" t="s">
        <v>277</v>
      </c>
      <c r="G50" s="9" t="s">
        <v>278</v>
      </c>
      <c r="H50" s="9" t="s">
        <v>279</v>
      </c>
      <c r="I50" s="26"/>
      <c r="J50" s="18"/>
      <c r="K50" s="25"/>
      <c r="L50" s="18"/>
      <c r="M50" s="18"/>
      <c r="N50" s="18"/>
      <c r="O50" s="25"/>
      <c r="P50" s="19"/>
      <c r="Q50" s="18"/>
      <c r="R50" s="10"/>
      <c r="S50" s="25"/>
      <c r="T50" s="19"/>
      <c r="U50" s="18"/>
      <c r="V50" s="10"/>
      <c r="W50" s="25"/>
      <c r="X50" s="19"/>
      <c r="Y50" s="18"/>
      <c r="Z50" s="25"/>
      <c r="AA50" s="25"/>
      <c r="AB50" s="19"/>
      <c r="AC50" s="19"/>
      <c r="AD50" s="17"/>
      <c r="AE50" s="17"/>
    </row>
    <row r="51" ht="15.75" customHeight="1">
      <c r="A51" s="6" t="s">
        <v>280</v>
      </c>
      <c r="B51" s="6" t="s">
        <v>260</v>
      </c>
      <c r="C51" s="14" t="s">
        <v>281</v>
      </c>
      <c r="D51" s="6" t="s">
        <v>45</v>
      </c>
      <c r="E51" s="6" t="s">
        <v>27</v>
      </c>
      <c r="F51" s="9" t="s">
        <v>282</v>
      </c>
      <c r="G51" s="9" t="s">
        <v>283</v>
      </c>
      <c r="H51" s="9" t="s">
        <v>284</v>
      </c>
      <c r="I51" s="26"/>
      <c r="J51" s="18"/>
      <c r="K51" s="25"/>
      <c r="L51" s="18"/>
      <c r="M51" s="18"/>
      <c r="N51" s="18"/>
      <c r="O51" s="25"/>
      <c r="P51" s="19"/>
      <c r="Q51" s="19"/>
      <c r="R51" s="10"/>
      <c r="S51" s="25"/>
      <c r="T51" s="19"/>
      <c r="U51" s="18"/>
      <c r="V51" s="10"/>
      <c r="W51" s="25"/>
      <c r="X51" s="19"/>
      <c r="Y51" s="18"/>
      <c r="Z51" s="25"/>
      <c r="AA51" s="25"/>
      <c r="AB51" s="19"/>
      <c r="AC51" s="19"/>
      <c r="AD51" s="17"/>
      <c r="AE51" s="17"/>
    </row>
    <row r="52" ht="15.75" customHeight="1">
      <c r="A52" s="6" t="s">
        <v>285</v>
      </c>
      <c r="B52" s="6" t="s">
        <v>260</v>
      </c>
      <c r="C52" s="14" t="s">
        <v>286</v>
      </c>
      <c r="D52" s="6" t="s">
        <v>82</v>
      </c>
      <c r="E52" s="6" t="s">
        <v>27</v>
      </c>
      <c r="F52" s="9" t="s">
        <v>287</v>
      </c>
      <c r="G52" s="9" t="s">
        <v>288</v>
      </c>
      <c r="H52" s="9" t="s">
        <v>289</v>
      </c>
      <c r="I52" s="29"/>
      <c r="J52" s="30"/>
      <c r="K52" s="31"/>
      <c r="L52" s="30"/>
      <c r="M52" s="30"/>
      <c r="N52" s="30"/>
      <c r="O52" s="31"/>
      <c r="P52" s="32"/>
      <c r="Q52" s="32"/>
      <c r="R52" s="33"/>
      <c r="S52" s="31"/>
      <c r="T52" s="32"/>
      <c r="U52" s="30"/>
      <c r="V52" s="10"/>
      <c r="W52" s="31"/>
      <c r="X52" s="32"/>
      <c r="Y52" s="30"/>
      <c r="Z52" s="31"/>
      <c r="AA52" s="31"/>
      <c r="AB52" s="32"/>
      <c r="AC52" s="32"/>
      <c r="AD52" s="34"/>
      <c r="AE52" s="34"/>
    </row>
    <row r="53" ht="15.75" customHeight="1">
      <c r="A53" s="6" t="s">
        <v>290</v>
      </c>
      <c r="B53" s="6" t="s">
        <v>260</v>
      </c>
      <c r="C53" s="14" t="s">
        <v>291</v>
      </c>
      <c r="D53" s="6" t="s">
        <v>33</v>
      </c>
      <c r="E53" s="6" t="s">
        <v>27</v>
      </c>
      <c r="F53" s="9" t="s">
        <v>292</v>
      </c>
      <c r="G53" s="9" t="s">
        <v>293</v>
      </c>
      <c r="H53" s="9" t="s">
        <v>294</v>
      </c>
      <c r="I53" s="29"/>
      <c r="J53" s="30"/>
      <c r="K53" s="31"/>
      <c r="L53" s="30"/>
      <c r="M53" s="30"/>
      <c r="N53" s="30"/>
      <c r="O53" s="31"/>
      <c r="P53" s="32"/>
      <c r="Q53" s="32"/>
      <c r="R53" s="33"/>
      <c r="S53" s="31"/>
      <c r="T53" s="32"/>
      <c r="U53" s="30"/>
      <c r="V53" s="10"/>
      <c r="W53" s="31"/>
      <c r="X53" s="32"/>
      <c r="Y53" s="30"/>
      <c r="Z53" s="31"/>
      <c r="AA53" s="31"/>
      <c r="AB53" s="32"/>
      <c r="AC53" s="32"/>
      <c r="AD53" s="34"/>
      <c r="AE53" s="34"/>
    </row>
    <row r="54" ht="15.75" customHeight="1">
      <c r="A54" s="6" t="s">
        <v>295</v>
      </c>
      <c r="B54" s="6" t="s">
        <v>260</v>
      </c>
      <c r="C54" s="14" t="s">
        <v>296</v>
      </c>
      <c r="D54" s="6" t="s">
        <v>82</v>
      </c>
      <c r="E54" s="6" t="s">
        <v>27</v>
      </c>
      <c r="F54" s="9" t="s">
        <v>297</v>
      </c>
      <c r="G54" s="9" t="s">
        <v>298</v>
      </c>
      <c r="H54" s="9" t="s">
        <v>299</v>
      </c>
      <c r="I54" s="29"/>
      <c r="J54" s="30"/>
      <c r="K54" s="31"/>
      <c r="L54" s="30"/>
      <c r="M54" s="30"/>
      <c r="N54" s="30"/>
      <c r="O54" s="31"/>
      <c r="P54" s="32"/>
      <c r="Q54" s="32"/>
      <c r="R54" s="33"/>
      <c r="S54" s="31"/>
      <c r="T54" s="32"/>
      <c r="U54" s="30"/>
      <c r="V54" s="10"/>
      <c r="W54" s="31"/>
      <c r="X54" s="32"/>
      <c r="Y54" s="30"/>
      <c r="Z54" s="31"/>
      <c r="AA54" s="31"/>
      <c r="AB54" s="32"/>
      <c r="AC54" s="32"/>
      <c r="AD54" s="34"/>
      <c r="AE54" s="34"/>
    </row>
    <row r="55" ht="15.75" customHeight="1">
      <c r="A55" s="6" t="s">
        <v>300</v>
      </c>
      <c r="B55" s="6" t="s">
        <v>260</v>
      </c>
      <c r="C55" s="14" t="s">
        <v>301</v>
      </c>
      <c r="D55" s="6" t="s">
        <v>154</v>
      </c>
      <c r="E55" s="6" t="s">
        <v>27</v>
      </c>
      <c r="F55" s="9" t="s">
        <v>302</v>
      </c>
      <c r="G55" s="9" t="s">
        <v>303</v>
      </c>
      <c r="H55" s="9" t="s">
        <v>304</v>
      </c>
      <c r="I55" s="29"/>
      <c r="J55" s="30"/>
      <c r="K55" s="31"/>
      <c r="L55" s="30"/>
      <c r="M55" s="30"/>
      <c r="N55" s="30"/>
      <c r="O55" s="31"/>
      <c r="P55" s="32"/>
      <c r="Q55" s="32"/>
      <c r="R55" s="33"/>
      <c r="S55" s="31"/>
      <c r="T55" s="32"/>
      <c r="U55" s="30"/>
      <c r="V55" s="10"/>
      <c r="W55" s="31"/>
      <c r="X55" s="32"/>
      <c r="Y55" s="30"/>
      <c r="Z55" s="31"/>
      <c r="AA55" s="31"/>
      <c r="AB55" s="32"/>
      <c r="AC55" s="32"/>
      <c r="AD55" s="34"/>
      <c r="AE55" s="34"/>
    </row>
    <row r="56" ht="15.75" customHeight="1">
      <c r="A56" s="6" t="s">
        <v>305</v>
      </c>
      <c r="B56" s="6" t="s">
        <v>260</v>
      </c>
      <c r="C56" s="14" t="s">
        <v>306</v>
      </c>
      <c r="D56" s="6" t="s">
        <v>154</v>
      </c>
      <c r="E56" s="6" t="s">
        <v>27</v>
      </c>
      <c r="F56" s="9" t="s">
        <v>307</v>
      </c>
      <c r="G56" s="9" t="s">
        <v>308</v>
      </c>
      <c r="H56" s="9" t="s">
        <v>309</v>
      </c>
      <c r="I56" s="29"/>
      <c r="J56" s="30"/>
      <c r="K56" s="31"/>
      <c r="L56" s="30"/>
      <c r="M56" s="30"/>
      <c r="N56" s="30"/>
      <c r="O56" s="31"/>
      <c r="P56" s="32"/>
      <c r="Q56" s="32"/>
      <c r="R56" s="33"/>
      <c r="S56" s="31"/>
      <c r="T56" s="32"/>
      <c r="U56" s="30"/>
      <c r="V56" s="10"/>
      <c r="W56" s="31"/>
      <c r="X56" s="32"/>
      <c r="Y56" s="30"/>
      <c r="Z56" s="31"/>
      <c r="AA56" s="31"/>
      <c r="AB56" s="32"/>
      <c r="AC56" s="32"/>
      <c r="AD56" s="34"/>
      <c r="AE56" s="34"/>
    </row>
    <row r="57" ht="15.75" customHeight="1">
      <c r="A57" s="6" t="s">
        <v>310</v>
      </c>
      <c r="B57" s="6" t="s">
        <v>260</v>
      </c>
      <c r="C57" s="14" t="s">
        <v>311</v>
      </c>
      <c r="D57" s="6" t="s">
        <v>33</v>
      </c>
      <c r="E57" s="6" t="s">
        <v>27</v>
      </c>
      <c r="F57" s="9" t="s">
        <v>312</v>
      </c>
      <c r="G57" s="9" t="s">
        <v>313</v>
      </c>
      <c r="H57" s="9" t="s">
        <v>314</v>
      </c>
      <c r="I57" s="29"/>
      <c r="J57" s="30"/>
      <c r="K57" s="31"/>
      <c r="L57" s="30"/>
      <c r="M57" s="30"/>
      <c r="N57" s="30"/>
      <c r="O57" s="31"/>
      <c r="P57" s="32"/>
      <c r="Q57" s="32"/>
      <c r="R57" s="33"/>
      <c r="S57" s="31"/>
      <c r="T57" s="32"/>
      <c r="U57" s="30"/>
      <c r="V57" s="10"/>
      <c r="W57" s="31"/>
      <c r="X57" s="32"/>
      <c r="Y57" s="30"/>
      <c r="Z57" s="31"/>
      <c r="AA57" s="31"/>
      <c r="AB57" s="32"/>
      <c r="AC57" s="32"/>
      <c r="AD57" s="34"/>
      <c r="AE57" s="34"/>
    </row>
    <row r="58" ht="15.75" customHeight="1">
      <c r="A58" s="6" t="s">
        <v>315</v>
      </c>
      <c r="B58" s="6" t="s">
        <v>260</v>
      </c>
      <c r="C58" s="14" t="s">
        <v>316</v>
      </c>
      <c r="D58" s="6" t="s">
        <v>82</v>
      </c>
      <c r="E58" s="6" t="s">
        <v>27</v>
      </c>
      <c r="F58" s="9" t="s">
        <v>317</v>
      </c>
      <c r="G58" s="9" t="s">
        <v>318</v>
      </c>
      <c r="H58" s="9" t="s">
        <v>319</v>
      </c>
      <c r="I58" s="29"/>
      <c r="J58" s="30"/>
      <c r="K58" s="31"/>
      <c r="L58" s="30"/>
      <c r="M58" s="30"/>
      <c r="N58" s="30"/>
      <c r="O58" s="31"/>
      <c r="P58" s="32"/>
      <c r="Q58" s="32"/>
      <c r="R58" s="33"/>
      <c r="S58" s="31"/>
      <c r="T58" s="32"/>
      <c r="U58" s="30"/>
      <c r="V58" s="10"/>
      <c r="W58" s="31"/>
      <c r="X58" s="32"/>
      <c r="Y58" s="30"/>
      <c r="Z58" s="31"/>
      <c r="AA58" s="31"/>
      <c r="AB58" s="32"/>
      <c r="AC58" s="32"/>
      <c r="AD58" s="34"/>
      <c r="AE58" s="34"/>
    </row>
    <row r="59" ht="15.75" customHeight="1">
      <c r="A59" s="6" t="s">
        <v>320</v>
      </c>
      <c r="B59" s="6" t="s">
        <v>260</v>
      </c>
      <c r="C59" s="14" t="s">
        <v>321</v>
      </c>
      <c r="D59" s="6" t="s">
        <v>33</v>
      </c>
      <c r="E59" s="6" t="s">
        <v>27</v>
      </c>
      <c r="F59" s="9" t="s">
        <v>322</v>
      </c>
      <c r="G59" s="9" t="s">
        <v>323</v>
      </c>
      <c r="H59" s="9" t="s">
        <v>324</v>
      </c>
      <c r="I59" s="29"/>
      <c r="J59" s="30"/>
      <c r="K59" s="31"/>
      <c r="L59" s="30"/>
      <c r="M59" s="30"/>
      <c r="N59" s="30"/>
      <c r="O59" s="31"/>
      <c r="P59" s="32"/>
      <c r="Q59" s="32"/>
      <c r="R59" s="33"/>
      <c r="S59" s="31"/>
      <c r="T59" s="32"/>
      <c r="U59" s="30"/>
      <c r="V59" s="10"/>
      <c r="W59" s="31"/>
      <c r="X59" s="32"/>
      <c r="Y59" s="30"/>
      <c r="Z59" s="31"/>
      <c r="AA59" s="31"/>
      <c r="AB59" s="32"/>
      <c r="AC59" s="32"/>
      <c r="AD59" s="34"/>
      <c r="AE59" s="34"/>
    </row>
    <row r="60" ht="15.75" customHeight="1">
      <c r="A60" s="6" t="s">
        <v>325</v>
      </c>
      <c r="B60" s="6" t="s">
        <v>260</v>
      </c>
      <c r="C60" s="14" t="s">
        <v>326</v>
      </c>
      <c r="D60" s="6" t="s">
        <v>33</v>
      </c>
      <c r="E60" s="6" t="s">
        <v>27</v>
      </c>
      <c r="F60" s="9" t="s">
        <v>327</v>
      </c>
      <c r="G60" s="9" t="s">
        <v>328</v>
      </c>
      <c r="H60" s="9" t="s">
        <v>329</v>
      </c>
      <c r="I60" s="29"/>
      <c r="J60" s="30"/>
      <c r="K60" s="31"/>
      <c r="L60" s="30"/>
      <c r="M60" s="30"/>
      <c r="N60" s="30"/>
      <c r="O60" s="31"/>
      <c r="P60" s="32"/>
      <c r="Q60" s="32"/>
      <c r="R60" s="33"/>
      <c r="S60" s="31"/>
      <c r="T60" s="32"/>
      <c r="U60" s="30"/>
      <c r="V60" s="33"/>
      <c r="W60" s="31"/>
      <c r="X60" s="32"/>
      <c r="Y60" s="30"/>
      <c r="Z60" s="31"/>
      <c r="AA60" s="31"/>
      <c r="AB60" s="32"/>
      <c r="AC60" s="32"/>
      <c r="AD60" s="34"/>
      <c r="AE60" s="34"/>
    </row>
    <row r="61" ht="15.75" customHeight="1">
      <c r="A61" s="6" t="s">
        <v>330</v>
      </c>
      <c r="B61" s="6" t="s">
        <v>260</v>
      </c>
      <c r="C61" s="14" t="s">
        <v>331</v>
      </c>
      <c r="D61" s="6" t="s">
        <v>154</v>
      </c>
      <c r="E61" s="6" t="s">
        <v>27</v>
      </c>
      <c r="F61" s="9" t="s">
        <v>332</v>
      </c>
      <c r="G61" s="9" t="s">
        <v>333</v>
      </c>
      <c r="H61" s="9" t="s">
        <v>334</v>
      </c>
      <c r="I61" s="29"/>
      <c r="J61" s="30"/>
      <c r="K61" s="31"/>
      <c r="L61" s="30"/>
      <c r="M61" s="30"/>
      <c r="N61" s="30"/>
      <c r="O61" s="31"/>
      <c r="P61" s="32"/>
      <c r="Q61" s="32"/>
      <c r="R61" s="33"/>
      <c r="S61" s="31"/>
      <c r="T61" s="32"/>
      <c r="U61" s="30"/>
      <c r="V61" s="33"/>
      <c r="W61" s="31"/>
      <c r="X61" s="32"/>
      <c r="Y61" s="30"/>
      <c r="Z61" s="31"/>
      <c r="AA61" s="31"/>
      <c r="AB61" s="32"/>
      <c r="AC61" s="32"/>
      <c r="AD61" s="34"/>
      <c r="AE61" s="34"/>
    </row>
    <row r="62" ht="15.75" customHeight="1">
      <c r="A62" s="6" t="s">
        <v>335</v>
      </c>
      <c r="B62" s="6" t="s">
        <v>260</v>
      </c>
      <c r="C62" s="14" t="s">
        <v>336</v>
      </c>
      <c r="D62" s="6" t="s">
        <v>45</v>
      </c>
      <c r="E62" s="6" t="s">
        <v>27</v>
      </c>
      <c r="F62" s="9" t="s">
        <v>337</v>
      </c>
      <c r="G62" s="9" t="s">
        <v>338</v>
      </c>
      <c r="H62" s="9" t="s">
        <v>339</v>
      </c>
      <c r="I62" s="29"/>
      <c r="J62" s="30"/>
      <c r="K62" s="31"/>
      <c r="L62" s="30"/>
      <c r="M62" s="30"/>
      <c r="N62" s="30"/>
      <c r="O62" s="31"/>
      <c r="P62" s="32"/>
      <c r="Q62" s="32"/>
      <c r="R62" s="33"/>
      <c r="S62" s="31"/>
      <c r="T62" s="32"/>
      <c r="U62" s="30"/>
      <c r="V62" s="33"/>
      <c r="W62" s="31"/>
      <c r="X62" s="32"/>
      <c r="Y62" s="30"/>
      <c r="Z62" s="31"/>
      <c r="AA62" s="31"/>
      <c r="AB62" s="32"/>
      <c r="AC62" s="32"/>
      <c r="AD62" s="34"/>
      <c r="AE62" s="34"/>
    </row>
    <row r="63" ht="15.75" customHeight="1">
      <c r="A63" s="6" t="s">
        <v>340</v>
      </c>
      <c r="B63" s="6" t="s">
        <v>260</v>
      </c>
      <c r="C63" s="14" t="s">
        <v>341</v>
      </c>
      <c r="D63" s="6" t="s">
        <v>154</v>
      </c>
      <c r="E63" s="6" t="s">
        <v>27</v>
      </c>
      <c r="F63" s="9" t="s">
        <v>342</v>
      </c>
      <c r="G63" s="9" t="s">
        <v>343</v>
      </c>
      <c r="H63" s="9" t="s">
        <v>344</v>
      </c>
      <c r="I63" s="29"/>
      <c r="J63" s="30"/>
      <c r="K63" s="31"/>
      <c r="L63" s="30"/>
      <c r="M63" s="30"/>
      <c r="N63" s="30"/>
      <c r="O63" s="31"/>
      <c r="P63" s="32"/>
      <c r="Q63" s="32"/>
      <c r="R63" s="33"/>
      <c r="S63" s="31"/>
      <c r="T63" s="32"/>
      <c r="U63" s="30"/>
      <c r="V63" s="33"/>
      <c r="W63" s="31"/>
      <c r="X63" s="32"/>
      <c r="Y63" s="30"/>
      <c r="Z63" s="31"/>
      <c r="AA63" s="31"/>
      <c r="AB63" s="32"/>
      <c r="AC63" s="32"/>
      <c r="AD63" s="34"/>
      <c r="AE63" s="34"/>
    </row>
    <row r="64" ht="15.75" customHeight="1">
      <c r="A64" s="6" t="s">
        <v>345</v>
      </c>
      <c r="B64" s="6" t="s">
        <v>260</v>
      </c>
      <c r="C64" s="14" t="s">
        <v>346</v>
      </c>
      <c r="D64" s="6" t="s">
        <v>154</v>
      </c>
      <c r="E64" s="6" t="s">
        <v>27</v>
      </c>
      <c r="F64" s="9" t="s">
        <v>347</v>
      </c>
      <c r="G64" s="9" t="s">
        <v>348</v>
      </c>
      <c r="H64" s="9" t="s">
        <v>349</v>
      </c>
      <c r="I64" s="29"/>
      <c r="J64" s="30"/>
      <c r="K64" s="31"/>
      <c r="L64" s="30"/>
      <c r="M64" s="30"/>
      <c r="N64" s="30"/>
      <c r="O64" s="31"/>
      <c r="P64" s="32"/>
      <c r="Q64" s="32"/>
      <c r="R64" s="33"/>
      <c r="S64" s="31"/>
      <c r="T64" s="32"/>
      <c r="U64" s="30"/>
      <c r="V64" s="33"/>
      <c r="W64" s="31"/>
      <c r="X64" s="32"/>
      <c r="Y64" s="30"/>
      <c r="Z64" s="31"/>
      <c r="AA64" s="31"/>
      <c r="AB64" s="32"/>
      <c r="AC64" s="32"/>
      <c r="AD64" s="34"/>
      <c r="AE64" s="34"/>
    </row>
    <row r="65" ht="15.75" customHeight="1">
      <c r="A65" s="6" t="s">
        <v>350</v>
      </c>
      <c r="B65" s="6" t="s">
        <v>260</v>
      </c>
      <c r="C65" s="14" t="s">
        <v>351</v>
      </c>
      <c r="D65" s="6" t="s">
        <v>154</v>
      </c>
      <c r="E65" s="6" t="s">
        <v>27</v>
      </c>
      <c r="F65" s="9" t="s">
        <v>352</v>
      </c>
      <c r="G65" s="9" t="s">
        <v>353</v>
      </c>
      <c r="H65" s="9" t="s">
        <v>354</v>
      </c>
      <c r="I65" s="29"/>
      <c r="J65" s="30"/>
      <c r="K65" s="31"/>
      <c r="L65" s="30"/>
      <c r="M65" s="30"/>
      <c r="N65" s="30"/>
      <c r="O65" s="31"/>
      <c r="P65" s="32"/>
      <c r="Q65" s="32"/>
      <c r="R65" s="33"/>
      <c r="S65" s="31"/>
      <c r="T65" s="32"/>
      <c r="U65" s="30"/>
      <c r="V65" s="33"/>
      <c r="W65" s="31"/>
      <c r="X65" s="32"/>
      <c r="Y65" s="30"/>
      <c r="Z65" s="31"/>
      <c r="AA65" s="31"/>
      <c r="AB65" s="32"/>
      <c r="AC65" s="32"/>
      <c r="AD65" s="34"/>
      <c r="AE65" s="34"/>
    </row>
    <row r="66" ht="15.75" customHeight="1">
      <c r="A66" s="6" t="s">
        <v>355</v>
      </c>
      <c r="B66" s="6" t="s">
        <v>260</v>
      </c>
      <c r="C66" s="14" t="s">
        <v>356</v>
      </c>
      <c r="D66" s="6" t="s">
        <v>26</v>
      </c>
      <c r="E66" s="6" t="s">
        <v>27</v>
      </c>
      <c r="F66" s="9" t="s">
        <v>357</v>
      </c>
      <c r="G66" s="9" t="s">
        <v>358</v>
      </c>
      <c r="H66" s="9" t="s">
        <v>359</v>
      </c>
      <c r="I66" s="29"/>
      <c r="J66" s="30"/>
      <c r="K66" s="31"/>
      <c r="L66" s="30"/>
      <c r="M66" s="30"/>
      <c r="N66" s="30"/>
      <c r="O66" s="31"/>
      <c r="P66" s="32"/>
      <c r="Q66" s="32"/>
      <c r="R66" s="33"/>
      <c r="S66" s="31"/>
      <c r="T66" s="32"/>
      <c r="U66" s="30"/>
      <c r="V66" s="33"/>
      <c r="W66" s="31"/>
      <c r="X66" s="32"/>
      <c r="Y66" s="30"/>
      <c r="Z66" s="31"/>
      <c r="AA66" s="31"/>
      <c r="AB66" s="32"/>
      <c r="AC66" s="32"/>
      <c r="AD66" s="34"/>
      <c r="AE66" s="34"/>
    </row>
    <row r="67" ht="15.75" customHeight="1">
      <c r="A67" s="6" t="s">
        <v>360</v>
      </c>
      <c r="B67" s="6" t="s">
        <v>361</v>
      </c>
      <c r="C67" s="14" t="s">
        <v>362</v>
      </c>
      <c r="D67" s="6" t="s">
        <v>82</v>
      </c>
      <c r="E67" s="6" t="s">
        <v>27</v>
      </c>
      <c r="F67" s="9" t="s">
        <v>363</v>
      </c>
      <c r="G67" s="9" t="s">
        <v>364</v>
      </c>
      <c r="H67" s="9" t="s">
        <v>365</v>
      </c>
      <c r="I67" s="29"/>
      <c r="J67" s="30"/>
      <c r="K67" s="31"/>
      <c r="L67" s="30"/>
      <c r="M67" s="30"/>
      <c r="N67" s="30"/>
      <c r="O67" s="31"/>
      <c r="P67" s="32"/>
      <c r="Q67" s="32"/>
      <c r="R67" s="33"/>
      <c r="S67" s="31"/>
      <c r="T67" s="32"/>
      <c r="U67" s="30"/>
      <c r="V67" s="33"/>
      <c r="W67" s="31"/>
      <c r="X67" s="32"/>
      <c r="Y67" s="30"/>
      <c r="Z67" s="31"/>
      <c r="AA67" s="31"/>
      <c r="AB67" s="32"/>
      <c r="AC67" s="32"/>
      <c r="AD67" s="34"/>
      <c r="AE67" s="34"/>
    </row>
    <row r="68" ht="15.75" customHeight="1">
      <c r="A68" s="6" t="s">
        <v>366</v>
      </c>
      <c r="B68" s="6" t="s">
        <v>361</v>
      </c>
      <c r="C68" s="14" t="s">
        <v>367</v>
      </c>
      <c r="D68" s="6" t="s">
        <v>26</v>
      </c>
      <c r="E68" s="6" t="s">
        <v>27</v>
      </c>
      <c r="F68" s="9" t="s">
        <v>368</v>
      </c>
      <c r="G68" s="9" t="s">
        <v>369</v>
      </c>
      <c r="H68" s="9" t="s">
        <v>370</v>
      </c>
      <c r="I68" s="29"/>
      <c r="J68" s="30"/>
      <c r="K68" s="31"/>
      <c r="L68" s="30"/>
      <c r="M68" s="30"/>
      <c r="N68" s="30"/>
      <c r="O68" s="31"/>
      <c r="P68" s="32"/>
      <c r="Q68" s="32"/>
      <c r="R68" s="33"/>
      <c r="S68" s="31"/>
      <c r="T68" s="32"/>
      <c r="U68" s="30"/>
      <c r="V68" s="33"/>
      <c r="W68" s="31"/>
      <c r="X68" s="32"/>
      <c r="Y68" s="30"/>
      <c r="Z68" s="31"/>
      <c r="AA68" s="31"/>
      <c r="AB68" s="32"/>
      <c r="AC68" s="32"/>
      <c r="AD68" s="34"/>
      <c r="AE68" s="34"/>
    </row>
    <row r="69" ht="15.75" customHeight="1">
      <c r="A69" s="6" t="s">
        <v>371</v>
      </c>
      <c r="B69" s="6" t="s">
        <v>361</v>
      </c>
      <c r="C69" s="14" t="s">
        <v>372</v>
      </c>
      <c r="D69" s="6" t="s">
        <v>82</v>
      </c>
      <c r="E69" s="6" t="s">
        <v>27</v>
      </c>
      <c r="F69" s="9" t="s">
        <v>373</v>
      </c>
      <c r="G69" s="9" t="s">
        <v>374</v>
      </c>
      <c r="H69" s="9" t="s">
        <v>375</v>
      </c>
      <c r="I69" s="29"/>
      <c r="J69" s="30"/>
      <c r="K69" s="31"/>
      <c r="L69" s="30"/>
      <c r="M69" s="30"/>
      <c r="N69" s="30"/>
      <c r="O69" s="31"/>
      <c r="P69" s="32"/>
      <c r="Q69" s="32"/>
      <c r="R69" s="33"/>
      <c r="S69" s="31"/>
      <c r="T69" s="32"/>
      <c r="U69" s="30"/>
      <c r="V69" s="33"/>
      <c r="W69" s="31"/>
      <c r="X69" s="32"/>
      <c r="Y69" s="30"/>
      <c r="Z69" s="31"/>
      <c r="AA69" s="31"/>
      <c r="AB69" s="32"/>
      <c r="AC69" s="32"/>
      <c r="AD69" s="34"/>
      <c r="AE69" s="34"/>
    </row>
    <row r="70" ht="15.75" customHeight="1">
      <c r="A70" s="6" t="s">
        <v>376</v>
      </c>
      <c r="B70" s="6" t="s">
        <v>361</v>
      </c>
      <c r="C70" s="14" t="s">
        <v>377</v>
      </c>
      <c r="D70" s="6" t="s">
        <v>165</v>
      </c>
      <c r="E70" s="6" t="s">
        <v>27</v>
      </c>
      <c r="F70" s="9" t="s">
        <v>378</v>
      </c>
      <c r="G70" s="9" t="s">
        <v>379</v>
      </c>
      <c r="H70" s="9" t="s">
        <v>380</v>
      </c>
      <c r="I70" s="29"/>
      <c r="J70" s="30"/>
      <c r="K70" s="31"/>
      <c r="L70" s="30"/>
      <c r="M70" s="30"/>
      <c r="N70" s="30"/>
      <c r="O70" s="31"/>
      <c r="P70" s="32"/>
      <c r="Q70" s="32"/>
      <c r="R70" s="33"/>
      <c r="S70" s="31"/>
      <c r="T70" s="32"/>
      <c r="U70" s="30"/>
      <c r="V70" s="33"/>
      <c r="W70" s="31"/>
      <c r="X70" s="32"/>
      <c r="Y70" s="30"/>
      <c r="Z70" s="31"/>
      <c r="AA70" s="31"/>
      <c r="AB70" s="32"/>
      <c r="AC70" s="32"/>
      <c r="AD70" s="34"/>
      <c r="AE70" s="34"/>
    </row>
    <row r="71" ht="15.75" customHeight="1">
      <c r="A71" s="6" t="s">
        <v>381</v>
      </c>
      <c r="B71" s="6" t="s">
        <v>361</v>
      </c>
      <c r="C71" s="14" t="s">
        <v>382</v>
      </c>
      <c r="D71" s="6" t="s">
        <v>66</v>
      </c>
      <c r="E71" s="6" t="s">
        <v>27</v>
      </c>
      <c r="F71" s="9" t="s">
        <v>383</v>
      </c>
      <c r="G71" s="9" t="s">
        <v>384</v>
      </c>
      <c r="H71" s="9" t="s">
        <v>385</v>
      </c>
      <c r="I71" s="29"/>
      <c r="J71" s="30"/>
      <c r="K71" s="31"/>
      <c r="L71" s="30"/>
      <c r="M71" s="30"/>
      <c r="N71" s="30"/>
      <c r="O71" s="31"/>
      <c r="P71" s="32"/>
      <c r="Q71" s="32"/>
      <c r="R71" s="33"/>
      <c r="S71" s="31"/>
      <c r="T71" s="32"/>
      <c r="U71" s="30"/>
      <c r="V71" s="33"/>
      <c r="W71" s="31"/>
      <c r="X71" s="32"/>
      <c r="Y71" s="30"/>
      <c r="Z71" s="31"/>
      <c r="AA71" s="31"/>
      <c r="AB71" s="32"/>
      <c r="AC71" s="32"/>
      <c r="AD71" s="34"/>
      <c r="AE71" s="34"/>
    </row>
    <row r="72" ht="15.75" customHeight="1">
      <c r="A72" s="6" t="s">
        <v>386</v>
      </c>
      <c r="B72" s="6" t="s">
        <v>361</v>
      </c>
      <c r="C72" s="14" t="s">
        <v>387</v>
      </c>
      <c r="D72" s="6" t="s">
        <v>26</v>
      </c>
      <c r="E72" s="6" t="s">
        <v>27</v>
      </c>
      <c r="F72" s="9" t="s">
        <v>388</v>
      </c>
      <c r="G72" s="9" t="s">
        <v>389</v>
      </c>
      <c r="H72" s="9" t="s">
        <v>390</v>
      </c>
      <c r="I72" s="29"/>
      <c r="J72" s="30"/>
      <c r="K72" s="31"/>
      <c r="L72" s="30"/>
      <c r="M72" s="30"/>
      <c r="N72" s="30"/>
      <c r="O72" s="31"/>
      <c r="P72" s="32"/>
      <c r="Q72" s="32"/>
      <c r="R72" s="33"/>
      <c r="S72" s="31"/>
      <c r="T72" s="32"/>
      <c r="U72" s="30"/>
      <c r="V72" s="33"/>
      <c r="W72" s="31"/>
      <c r="X72" s="32"/>
      <c r="Y72" s="30"/>
      <c r="Z72" s="31"/>
      <c r="AA72" s="31"/>
      <c r="AB72" s="32"/>
      <c r="AC72" s="32"/>
      <c r="AD72" s="34"/>
      <c r="AE72" s="34"/>
    </row>
    <row r="73" ht="15.75" customHeight="1">
      <c r="A73" s="6" t="s">
        <v>391</v>
      </c>
      <c r="B73" s="6" t="s">
        <v>361</v>
      </c>
      <c r="C73" s="14" t="s">
        <v>392</v>
      </c>
      <c r="D73" s="6" t="s">
        <v>165</v>
      </c>
      <c r="E73" s="6" t="s">
        <v>27</v>
      </c>
      <c r="F73" s="9" t="s">
        <v>393</v>
      </c>
      <c r="G73" s="9" t="s">
        <v>394</v>
      </c>
      <c r="H73" s="9" t="s">
        <v>395</v>
      </c>
      <c r="I73" s="29"/>
      <c r="J73" s="30"/>
      <c r="K73" s="31"/>
      <c r="L73" s="30"/>
      <c r="M73" s="30"/>
      <c r="N73" s="30"/>
      <c r="O73" s="31"/>
      <c r="P73" s="32"/>
      <c r="Q73" s="32"/>
      <c r="R73" s="33"/>
      <c r="S73" s="31"/>
      <c r="T73" s="32"/>
      <c r="U73" s="30"/>
      <c r="V73" s="33"/>
      <c r="W73" s="31"/>
      <c r="X73" s="32"/>
      <c r="Y73" s="30"/>
      <c r="Z73" s="31"/>
      <c r="AA73" s="31"/>
      <c r="AB73" s="32"/>
      <c r="AC73" s="32"/>
      <c r="AD73" s="34"/>
      <c r="AE73" s="34"/>
    </row>
    <row r="74" ht="15.75" customHeight="1">
      <c r="A74" s="6" t="s">
        <v>396</v>
      </c>
      <c r="B74" s="6" t="s">
        <v>361</v>
      </c>
      <c r="C74" s="14" t="s">
        <v>397</v>
      </c>
      <c r="D74" s="6" t="s">
        <v>66</v>
      </c>
      <c r="E74" s="6" t="s">
        <v>27</v>
      </c>
      <c r="F74" s="9" t="s">
        <v>398</v>
      </c>
      <c r="G74" s="9" t="s">
        <v>399</v>
      </c>
      <c r="H74" s="9" t="s">
        <v>400</v>
      </c>
      <c r="I74" s="29"/>
      <c r="J74" s="30"/>
      <c r="K74" s="31"/>
      <c r="L74" s="30"/>
      <c r="M74" s="30"/>
      <c r="N74" s="30"/>
      <c r="O74" s="31"/>
      <c r="P74" s="32"/>
      <c r="Q74" s="32"/>
      <c r="R74" s="33"/>
      <c r="S74" s="31"/>
      <c r="T74" s="32"/>
      <c r="U74" s="30"/>
      <c r="V74" s="33"/>
      <c r="W74" s="31"/>
      <c r="X74" s="32"/>
      <c r="Y74" s="30"/>
      <c r="Z74" s="31"/>
      <c r="AA74" s="31"/>
      <c r="AB74" s="32"/>
      <c r="AC74" s="32"/>
      <c r="AD74" s="34"/>
      <c r="AE74" s="34"/>
    </row>
    <row r="75" ht="15.75" customHeight="1">
      <c r="A75" s="6" t="s">
        <v>401</v>
      </c>
      <c r="B75" s="6" t="s">
        <v>361</v>
      </c>
      <c r="C75" s="14" t="s">
        <v>402</v>
      </c>
      <c r="D75" s="6" t="s">
        <v>66</v>
      </c>
      <c r="E75" s="6" t="s">
        <v>27</v>
      </c>
      <c r="F75" s="9" t="s">
        <v>403</v>
      </c>
      <c r="G75" s="9" t="s">
        <v>404</v>
      </c>
      <c r="H75" s="9" t="s">
        <v>405</v>
      </c>
      <c r="I75" s="29"/>
      <c r="J75" s="30"/>
      <c r="K75" s="31"/>
      <c r="L75" s="30"/>
      <c r="M75" s="30"/>
      <c r="N75" s="30"/>
      <c r="O75" s="31"/>
      <c r="P75" s="32"/>
      <c r="Q75" s="32"/>
      <c r="R75" s="33"/>
      <c r="S75" s="31"/>
      <c r="T75" s="32"/>
      <c r="U75" s="30"/>
      <c r="V75" s="33"/>
      <c r="W75" s="31"/>
      <c r="X75" s="32"/>
      <c r="Y75" s="30"/>
      <c r="Z75" s="31"/>
      <c r="AA75" s="31"/>
      <c r="AB75" s="32"/>
      <c r="AC75" s="32"/>
      <c r="AD75" s="34"/>
      <c r="AE75" s="34"/>
    </row>
    <row r="76" ht="15.75" customHeight="1">
      <c r="A76" s="6" t="s">
        <v>406</v>
      </c>
      <c r="B76" s="6" t="s">
        <v>361</v>
      </c>
      <c r="C76" s="14" t="s">
        <v>407</v>
      </c>
      <c r="D76" s="6" t="s">
        <v>165</v>
      </c>
      <c r="E76" s="6" t="s">
        <v>27</v>
      </c>
      <c r="F76" s="9" t="s">
        <v>408</v>
      </c>
      <c r="G76" s="9" t="s">
        <v>409</v>
      </c>
      <c r="H76" s="9" t="s">
        <v>410</v>
      </c>
      <c r="I76" s="29"/>
      <c r="J76" s="30"/>
      <c r="K76" s="31"/>
      <c r="L76" s="30"/>
      <c r="M76" s="30"/>
      <c r="N76" s="30"/>
      <c r="O76" s="31"/>
      <c r="P76" s="32"/>
      <c r="Q76" s="32"/>
      <c r="R76" s="33"/>
      <c r="S76" s="31"/>
      <c r="T76" s="32"/>
      <c r="U76" s="30"/>
      <c r="V76" s="33"/>
      <c r="W76" s="31"/>
      <c r="X76" s="32"/>
      <c r="Y76" s="30"/>
      <c r="Z76" s="31"/>
      <c r="AA76" s="31"/>
      <c r="AB76" s="32"/>
      <c r="AC76" s="32"/>
      <c r="AD76" s="34"/>
      <c r="AE76" s="34"/>
    </row>
    <row r="77" ht="15.75" customHeight="1">
      <c r="A77" s="6" t="s">
        <v>411</v>
      </c>
      <c r="B77" s="6" t="s">
        <v>361</v>
      </c>
      <c r="C77" s="14" t="s">
        <v>412</v>
      </c>
      <c r="D77" s="6" t="s">
        <v>26</v>
      </c>
      <c r="E77" s="6" t="s">
        <v>27</v>
      </c>
      <c r="F77" s="9" t="s">
        <v>413</v>
      </c>
      <c r="G77" s="9" t="s">
        <v>414</v>
      </c>
      <c r="H77" s="9" t="s">
        <v>415</v>
      </c>
      <c r="I77" s="29"/>
      <c r="J77" s="30"/>
      <c r="K77" s="31"/>
      <c r="L77" s="30"/>
      <c r="M77" s="30"/>
      <c r="N77" s="30"/>
      <c r="O77" s="31"/>
      <c r="P77" s="32"/>
      <c r="Q77" s="32"/>
      <c r="R77" s="33"/>
      <c r="S77" s="31"/>
      <c r="T77" s="32"/>
      <c r="U77" s="30"/>
      <c r="V77" s="33"/>
      <c r="W77" s="31"/>
      <c r="X77" s="32"/>
      <c r="Y77" s="30"/>
      <c r="Z77" s="31"/>
      <c r="AA77" s="31"/>
      <c r="AB77" s="32"/>
      <c r="AC77" s="32"/>
      <c r="AD77" s="34"/>
      <c r="AE77" s="34"/>
    </row>
    <row r="78" ht="15.75" customHeight="1">
      <c r="A78" s="6" t="s">
        <v>416</v>
      </c>
      <c r="B78" s="6" t="s">
        <v>361</v>
      </c>
      <c r="C78" s="14" t="s">
        <v>417</v>
      </c>
      <c r="D78" s="6" t="s">
        <v>26</v>
      </c>
      <c r="E78" s="6" t="s">
        <v>27</v>
      </c>
      <c r="F78" s="9" t="s">
        <v>418</v>
      </c>
      <c r="G78" s="9" t="s">
        <v>419</v>
      </c>
      <c r="H78" s="9" t="s">
        <v>420</v>
      </c>
      <c r="I78" s="29"/>
      <c r="J78" s="30"/>
      <c r="K78" s="31"/>
      <c r="L78" s="30"/>
      <c r="M78" s="30"/>
      <c r="N78" s="30"/>
      <c r="O78" s="31"/>
      <c r="P78" s="32"/>
      <c r="Q78" s="32"/>
      <c r="R78" s="33"/>
      <c r="S78" s="31"/>
      <c r="T78" s="32"/>
      <c r="U78" s="30"/>
      <c r="V78" s="33"/>
      <c r="W78" s="31"/>
      <c r="X78" s="32"/>
      <c r="Y78" s="30"/>
      <c r="Z78" s="31"/>
      <c r="AA78" s="31"/>
      <c r="AB78" s="32"/>
      <c r="AC78" s="32"/>
      <c r="AD78" s="34"/>
      <c r="AE78" s="34"/>
    </row>
    <row r="79" ht="15.75" customHeight="1">
      <c r="A79" s="6" t="s">
        <v>421</v>
      </c>
      <c r="B79" s="6" t="s">
        <v>361</v>
      </c>
      <c r="C79" s="14" t="s">
        <v>422</v>
      </c>
      <c r="D79" s="6" t="s">
        <v>45</v>
      </c>
      <c r="E79" s="6" t="s">
        <v>27</v>
      </c>
      <c r="F79" s="9" t="s">
        <v>423</v>
      </c>
      <c r="G79" s="9" t="s">
        <v>424</v>
      </c>
      <c r="H79" s="9" t="s">
        <v>425</v>
      </c>
      <c r="I79" s="29"/>
      <c r="J79" s="30"/>
      <c r="K79" s="31"/>
      <c r="L79" s="30"/>
      <c r="M79" s="30"/>
      <c r="N79" s="30"/>
      <c r="O79" s="31"/>
      <c r="P79" s="32"/>
      <c r="Q79" s="32"/>
      <c r="R79" s="33"/>
      <c r="S79" s="31"/>
      <c r="T79" s="32"/>
      <c r="U79" s="30"/>
      <c r="V79" s="33"/>
      <c r="W79" s="31"/>
      <c r="X79" s="32"/>
      <c r="Y79" s="30"/>
      <c r="Z79" s="31"/>
      <c r="AA79" s="31"/>
      <c r="AB79" s="32"/>
      <c r="AC79" s="32"/>
      <c r="AD79" s="34"/>
      <c r="AE79" s="34"/>
    </row>
    <row r="80" ht="15.75" customHeight="1">
      <c r="A80" s="6" t="s">
        <v>426</v>
      </c>
      <c r="B80" s="6" t="s">
        <v>361</v>
      </c>
      <c r="C80" s="14" t="s">
        <v>427</v>
      </c>
      <c r="D80" s="6" t="s">
        <v>165</v>
      </c>
      <c r="E80" s="6" t="s">
        <v>27</v>
      </c>
      <c r="F80" s="9" t="s">
        <v>428</v>
      </c>
      <c r="G80" s="9" t="s">
        <v>429</v>
      </c>
      <c r="H80" s="9" t="s">
        <v>430</v>
      </c>
      <c r="I80" s="29"/>
      <c r="J80" s="30"/>
      <c r="K80" s="31"/>
      <c r="L80" s="30"/>
      <c r="M80" s="30"/>
      <c r="N80" s="30"/>
      <c r="O80" s="31"/>
      <c r="P80" s="32"/>
      <c r="Q80" s="32"/>
      <c r="R80" s="33"/>
      <c r="S80" s="31"/>
      <c r="T80" s="32"/>
      <c r="U80" s="30"/>
      <c r="V80" s="33"/>
      <c r="W80" s="31"/>
      <c r="X80" s="32"/>
      <c r="Y80" s="30"/>
      <c r="Z80" s="31"/>
      <c r="AA80" s="31"/>
      <c r="AB80" s="32"/>
      <c r="AC80" s="32"/>
      <c r="AD80" s="34"/>
      <c r="AE80" s="34"/>
    </row>
    <row r="81" ht="15.75" customHeight="1">
      <c r="A81" s="6" t="s">
        <v>431</v>
      </c>
      <c r="B81" s="6" t="s">
        <v>361</v>
      </c>
      <c r="C81" s="14" t="s">
        <v>432</v>
      </c>
      <c r="D81" s="6" t="s">
        <v>165</v>
      </c>
      <c r="E81" s="6" t="s">
        <v>27</v>
      </c>
      <c r="F81" s="9" t="s">
        <v>433</v>
      </c>
      <c r="G81" s="9" t="s">
        <v>434</v>
      </c>
      <c r="H81" s="9" t="s">
        <v>435</v>
      </c>
      <c r="I81" s="29"/>
      <c r="J81" s="30"/>
      <c r="K81" s="31"/>
      <c r="L81" s="30"/>
      <c r="M81" s="30"/>
      <c r="N81" s="30"/>
      <c r="O81" s="31"/>
      <c r="P81" s="32"/>
      <c r="Q81" s="32"/>
      <c r="R81" s="33"/>
      <c r="S81" s="31"/>
      <c r="T81" s="32"/>
      <c r="U81" s="30"/>
      <c r="V81" s="33"/>
      <c r="W81" s="31"/>
      <c r="X81" s="32"/>
      <c r="Y81" s="30"/>
      <c r="Z81" s="31"/>
      <c r="AA81" s="31"/>
      <c r="AB81" s="32"/>
      <c r="AC81" s="32"/>
      <c r="AD81" s="34"/>
      <c r="AE81" s="34"/>
    </row>
    <row r="82" ht="15.75" customHeight="1">
      <c r="A82" s="6" t="s">
        <v>436</v>
      </c>
      <c r="B82" s="6" t="s">
        <v>361</v>
      </c>
      <c r="C82" s="14" t="s">
        <v>437</v>
      </c>
      <c r="D82" s="6" t="s">
        <v>165</v>
      </c>
      <c r="E82" s="6" t="s">
        <v>27</v>
      </c>
      <c r="F82" s="9" t="s">
        <v>438</v>
      </c>
      <c r="G82" s="9" t="s">
        <v>439</v>
      </c>
      <c r="H82" s="9" t="s">
        <v>440</v>
      </c>
      <c r="I82" s="29"/>
      <c r="J82" s="30"/>
      <c r="K82" s="31"/>
      <c r="L82" s="30"/>
      <c r="M82" s="30"/>
      <c r="N82" s="30"/>
      <c r="O82" s="31"/>
      <c r="P82" s="32"/>
      <c r="Q82" s="32"/>
      <c r="R82" s="33"/>
      <c r="S82" s="31"/>
      <c r="T82" s="32"/>
      <c r="U82" s="30"/>
      <c r="V82" s="33"/>
      <c r="W82" s="31"/>
      <c r="X82" s="32"/>
      <c r="Y82" s="30"/>
      <c r="Z82" s="31"/>
      <c r="AA82" s="31"/>
      <c r="AB82" s="32"/>
      <c r="AC82" s="32"/>
      <c r="AD82" s="34"/>
      <c r="AE82" s="34"/>
    </row>
    <row r="83" ht="15.75" customHeight="1">
      <c r="A83" s="6" t="s">
        <v>441</v>
      </c>
      <c r="B83" s="6" t="s">
        <v>361</v>
      </c>
      <c r="C83" s="14" t="s">
        <v>442</v>
      </c>
      <c r="D83" s="6" t="s">
        <v>82</v>
      </c>
      <c r="E83" s="6" t="s">
        <v>27</v>
      </c>
      <c r="F83" s="9" t="s">
        <v>443</v>
      </c>
      <c r="G83" s="9" t="s">
        <v>444</v>
      </c>
      <c r="H83" s="9" t="s">
        <v>445</v>
      </c>
      <c r="I83" s="29"/>
      <c r="J83" s="30"/>
      <c r="K83" s="31"/>
      <c r="L83" s="30"/>
      <c r="M83" s="30"/>
      <c r="N83" s="30"/>
      <c r="O83" s="31"/>
      <c r="P83" s="32"/>
      <c r="Q83" s="32"/>
      <c r="R83" s="33"/>
      <c r="S83" s="31"/>
      <c r="T83" s="32"/>
      <c r="U83" s="30"/>
      <c r="V83" s="33"/>
      <c r="W83" s="31"/>
      <c r="X83" s="32"/>
      <c r="Y83" s="30"/>
      <c r="Z83" s="31"/>
      <c r="AA83" s="31"/>
      <c r="AB83" s="32"/>
      <c r="AC83" s="32"/>
      <c r="AD83" s="34"/>
      <c r="AE83" s="34"/>
    </row>
    <row r="84" ht="15.75" customHeight="1">
      <c r="A84" s="6" t="s">
        <v>446</v>
      </c>
      <c r="B84" s="6" t="s">
        <v>361</v>
      </c>
      <c r="C84" s="14" t="s">
        <v>447</v>
      </c>
      <c r="D84" s="6" t="s">
        <v>33</v>
      </c>
      <c r="E84" s="6" t="s">
        <v>27</v>
      </c>
      <c r="F84" s="9" t="s">
        <v>448</v>
      </c>
      <c r="G84" s="9" t="s">
        <v>449</v>
      </c>
      <c r="H84" s="9" t="s">
        <v>450</v>
      </c>
      <c r="I84" s="29"/>
      <c r="J84" s="30"/>
      <c r="K84" s="31"/>
      <c r="L84" s="30"/>
      <c r="M84" s="30"/>
      <c r="N84" s="30"/>
      <c r="O84" s="31"/>
      <c r="P84" s="32"/>
      <c r="Q84" s="32"/>
      <c r="R84" s="33"/>
      <c r="S84" s="31"/>
      <c r="T84" s="32"/>
      <c r="U84" s="30"/>
      <c r="V84" s="33"/>
      <c r="W84" s="31"/>
      <c r="X84" s="32"/>
      <c r="Y84" s="30"/>
      <c r="Z84" s="31"/>
      <c r="AA84" s="31"/>
      <c r="AB84" s="32"/>
      <c r="AC84" s="32"/>
      <c r="AD84" s="34"/>
      <c r="AE84" s="34"/>
    </row>
    <row r="85" ht="15.75" customHeight="1">
      <c r="A85" s="6" t="s">
        <v>451</v>
      </c>
      <c r="B85" s="6" t="s">
        <v>361</v>
      </c>
      <c r="C85" s="14" t="s">
        <v>452</v>
      </c>
      <c r="D85" s="6" t="s">
        <v>66</v>
      </c>
      <c r="E85" s="6" t="s">
        <v>27</v>
      </c>
      <c r="F85" s="9" t="s">
        <v>453</v>
      </c>
      <c r="G85" s="9" t="s">
        <v>454</v>
      </c>
      <c r="H85" s="9" t="s">
        <v>455</v>
      </c>
      <c r="I85" s="29"/>
      <c r="J85" s="30"/>
      <c r="K85" s="31"/>
      <c r="L85" s="30"/>
      <c r="M85" s="30"/>
      <c r="N85" s="30"/>
      <c r="O85" s="31"/>
      <c r="P85" s="32"/>
      <c r="Q85" s="32"/>
      <c r="R85" s="33"/>
      <c r="S85" s="31"/>
      <c r="T85" s="32"/>
      <c r="U85" s="30"/>
      <c r="V85" s="33"/>
      <c r="W85" s="31"/>
      <c r="X85" s="32"/>
      <c r="Y85" s="30"/>
      <c r="Z85" s="31"/>
      <c r="AA85" s="31"/>
      <c r="AB85" s="32"/>
      <c r="AC85" s="32"/>
      <c r="AD85" s="34"/>
      <c r="AE85" s="34"/>
    </row>
    <row r="86" ht="15.75" customHeight="1">
      <c r="A86" s="6" t="s">
        <v>456</v>
      </c>
      <c r="B86" s="6" t="s">
        <v>361</v>
      </c>
      <c r="C86" s="14" t="s">
        <v>457</v>
      </c>
      <c r="D86" s="6" t="s">
        <v>165</v>
      </c>
      <c r="E86" s="6" t="s">
        <v>27</v>
      </c>
      <c r="F86" s="9" t="s">
        <v>458</v>
      </c>
      <c r="G86" s="9" t="s">
        <v>459</v>
      </c>
      <c r="H86" s="9" t="s">
        <v>460</v>
      </c>
      <c r="I86" s="29"/>
      <c r="J86" s="30"/>
      <c r="K86" s="31"/>
      <c r="L86" s="30"/>
      <c r="M86" s="30"/>
      <c r="N86" s="30"/>
      <c r="O86" s="31"/>
      <c r="P86" s="32"/>
      <c r="Q86" s="32"/>
      <c r="R86" s="33"/>
      <c r="S86" s="31"/>
      <c r="T86" s="32"/>
      <c r="U86" s="30"/>
      <c r="V86" s="33"/>
      <c r="W86" s="31"/>
      <c r="X86" s="32"/>
      <c r="Y86" s="30"/>
      <c r="Z86" s="31"/>
      <c r="AA86" s="31"/>
      <c r="AB86" s="32"/>
      <c r="AC86" s="32"/>
      <c r="AD86" s="34"/>
      <c r="AE86" s="34"/>
    </row>
    <row r="87" ht="15.75" customHeight="1">
      <c r="A87" s="6" t="s">
        <v>461</v>
      </c>
      <c r="B87" s="6" t="s">
        <v>361</v>
      </c>
      <c r="C87" s="14" t="s">
        <v>462</v>
      </c>
      <c r="D87" s="6" t="s">
        <v>165</v>
      </c>
      <c r="E87" s="6" t="s">
        <v>27</v>
      </c>
      <c r="F87" s="9" t="s">
        <v>463</v>
      </c>
      <c r="G87" s="9" t="s">
        <v>464</v>
      </c>
      <c r="H87" s="9" t="s">
        <v>465</v>
      </c>
      <c r="I87" s="29"/>
      <c r="J87" s="30"/>
      <c r="K87" s="31"/>
      <c r="L87" s="30"/>
      <c r="M87" s="30"/>
      <c r="N87" s="30"/>
      <c r="O87" s="31"/>
      <c r="P87" s="32"/>
      <c r="Q87" s="32"/>
      <c r="R87" s="33"/>
      <c r="S87" s="31"/>
      <c r="T87" s="32"/>
      <c r="U87" s="30"/>
      <c r="V87" s="33"/>
      <c r="W87" s="31"/>
      <c r="X87" s="32"/>
      <c r="Y87" s="30"/>
      <c r="Z87" s="31"/>
      <c r="AA87" s="31"/>
      <c r="AB87" s="32"/>
      <c r="AC87" s="32"/>
      <c r="AD87" s="34"/>
      <c r="AE87" s="34"/>
    </row>
    <row r="88" ht="15.75" customHeight="1">
      <c r="A88" s="6" t="s">
        <v>466</v>
      </c>
      <c r="B88" s="6" t="s">
        <v>361</v>
      </c>
      <c r="C88" s="14" t="s">
        <v>467</v>
      </c>
      <c r="D88" s="6" t="s">
        <v>66</v>
      </c>
      <c r="E88" s="6" t="s">
        <v>27</v>
      </c>
      <c r="F88" s="9" t="s">
        <v>468</v>
      </c>
      <c r="G88" s="9" t="s">
        <v>469</v>
      </c>
      <c r="H88" s="9" t="s">
        <v>470</v>
      </c>
      <c r="I88" s="29"/>
      <c r="J88" s="30"/>
      <c r="K88" s="31"/>
      <c r="L88" s="30"/>
      <c r="M88" s="30"/>
      <c r="N88" s="30"/>
      <c r="O88" s="31"/>
      <c r="P88" s="32"/>
      <c r="Q88" s="32"/>
      <c r="R88" s="33"/>
      <c r="S88" s="31"/>
      <c r="T88" s="32"/>
      <c r="U88" s="30"/>
      <c r="V88" s="33"/>
      <c r="W88" s="31"/>
      <c r="X88" s="32"/>
      <c r="Y88" s="30"/>
      <c r="Z88" s="31"/>
      <c r="AA88" s="31"/>
      <c r="AB88" s="32"/>
      <c r="AC88" s="32"/>
      <c r="AD88" s="34"/>
      <c r="AE88" s="34"/>
    </row>
    <row r="89" ht="15.75" customHeight="1">
      <c r="A89" s="6" t="s">
        <v>471</v>
      </c>
      <c r="B89" s="6" t="s">
        <v>361</v>
      </c>
      <c r="C89" s="14" t="s">
        <v>472</v>
      </c>
      <c r="D89" s="6" t="s">
        <v>66</v>
      </c>
      <c r="E89" s="6" t="s">
        <v>27</v>
      </c>
      <c r="F89" s="9" t="s">
        <v>473</v>
      </c>
      <c r="G89" s="9" t="s">
        <v>474</v>
      </c>
      <c r="H89" s="9" t="s">
        <v>475</v>
      </c>
      <c r="I89" s="29"/>
      <c r="J89" s="30"/>
      <c r="K89" s="31"/>
      <c r="L89" s="30"/>
      <c r="M89" s="30"/>
      <c r="N89" s="30"/>
      <c r="O89" s="31"/>
      <c r="P89" s="32"/>
      <c r="Q89" s="32"/>
      <c r="R89" s="33"/>
      <c r="S89" s="31"/>
      <c r="T89" s="32"/>
      <c r="U89" s="30"/>
      <c r="V89" s="33"/>
      <c r="W89" s="31"/>
      <c r="X89" s="32"/>
      <c r="Y89" s="30"/>
      <c r="Z89" s="31"/>
      <c r="AA89" s="31"/>
      <c r="AB89" s="32"/>
      <c r="AC89" s="32"/>
      <c r="AD89" s="34"/>
      <c r="AE89" s="34"/>
    </row>
    <row r="90" ht="15.75" customHeight="1">
      <c r="A90" s="6" t="s">
        <v>476</v>
      </c>
      <c r="B90" s="6" t="s">
        <v>477</v>
      </c>
      <c r="C90" s="14" t="s">
        <v>478</v>
      </c>
      <c r="D90" s="6" t="s">
        <v>45</v>
      </c>
      <c r="E90" s="6" t="s">
        <v>27</v>
      </c>
      <c r="F90" s="9" t="s">
        <v>479</v>
      </c>
      <c r="G90" s="9" t="s">
        <v>480</v>
      </c>
      <c r="H90" s="9" t="s">
        <v>481</v>
      </c>
      <c r="I90" s="29"/>
      <c r="J90" s="30"/>
      <c r="K90" s="31"/>
      <c r="L90" s="30"/>
      <c r="M90" s="30"/>
      <c r="N90" s="30"/>
      <c r="O90" s="31"/>
      <c r="P90" s="32"/>
      <c r="Q90" s="32"/>
      <c r="R90" s="33"/>
      <c r="S90" s="31"/>
      <c r="T90" s="32"/>
      <c r="U90" s="30"/>
      <c r="V90" s="33"/>
      <c r="W90" s="31"/>
      <c r="X90" s="32"/>
      <c r="Y90" s="30"/>
      <c r="Z90" s="31"/>
      <c r="AA90" s="31"/>
      <c r="AB90" s="32"/>
      <c r="AC90" s="32"/>
      <c r="AD90" s="34"/>
      <c r="AE90" s="34"/>
    </row>
    <row r="91" ht="15.75" customHeight="1">
      <c r="A91" s="6" t="s">
        <v>482</v>
      </c>
      <c r="B91" s="6" t="s">
        <v>477</v>
      </c>
      <c r="C91" s="14" t="s">
        <v>483</v>
      </c>
      <c r="D91" s="6" t="s">
        <v>39</v>
      </c>
      <c r="E91" s="6" t="s">
        <v>27</v>
      </c>
      <c r="F91" s="9" t="s">
        <v>484</v>
      </c>
      <c r="G91" s="9" t="s">
        <v>485</v>
      </c>
      <c r="H91" s="9" t="s">
        <v>486</v>
      </c>
      <c r="I91" s="29"/>
      <c r="J91" s="30"/>
      <c r="K91" s="31"/>
      <c r="L91" s="30"/>
      <c r="M91" s="30"/>
      <c r="N91" s="30"/>
      <c r="O91" s="31"/>
      <c r="P91" s="32"/>
      <c r="Q91" s="32"/>
      <c r="R91" s="33"/>
      <c r="S91" s="31"/>
      <c r="T91" s="32"/>
      <c r="U91" s="30"/>
      <c r="V91" s="33"/>
      <c r="W91" s="31"/>
      <c r="X91" s="32"/>
      <c r="Y91" s="30"/>
      <c r="Z91" s="31"/>
      <c r="AA91" s="31"/>
      <c r="AB91" s="32"/>
      <c r="AC91" s="32"/>
      <c r="AD91" s="34"/>
      <c r="AE91" s="34"/>
    </row>
    <row r="92" ht="15.75" customHeight="1">
      <c r="A92" s="6" t="s">
        <v>487</v>
      </c>
      <c r="B92" s="6" t="s">
        <v>477</v>
      </c>
      <c r="C92" s="14" t="s">
        <v>488</v>
      </c>
      <c r="D92" s="6" t="s">
        <v>33</v>
      </c>
      <c r="E92" s="6" t="s">
        <v>27</v>
      </c>
      <c r="F92" s="9" t="s">
        <v>489</v>
      </c>
      <c r="G92" s="9" t="s">
        <v>490</v>
      </c>
      <c r="H92" s="9" t="s">
        <v>491</v>
      </c>
      <c r="I92" s="29"/>
      <c r="J92" s="30"/>
      <c r="K92" s="31"/>
      <c r="L92" s="30"/>
      <c r="M92" s="30"/>
      <c r="N92" s="30"/>
      <c r="O92" s="31"/>
      <c r="P92" s="32"/>
      <c r="Q92" s="32"/>
      <c r="R92" s="33"/>
      <c r="S92" s="31"/>
      <c r="T92" s="32"/>
      <c r="U92" s="30"/>
      <c r="V92" s="33"/>
      <c r="W92" s="31"/>
      <c r="X92" s="32"/>
      <c r="Y92" s="30"/>
      <c r="Z92" s="31"/>
      <c r="AA92" s="31"/>
      <c r="AB92" s="32"/>
      <c r="AC92" s="32"/>
      <c r="AD92" s="34"/>
      <c r="AE92" s="34"/>
    </row>
    <row r="93" ht="15.75" customHeight="1">
      <c r="A93" s="6" t="s">
        <v>492</v>
      </c>
      <c r="B93" s="6" t="s">
        <v>477</v>
      </c>
      <c r="C93" s="14" t="s">
        <v>493</v>
      </c>
      <c r="D93" s="6" t="s">
        <v>45</v>
      </c>
      <c r="E93" s="6" t="s">
        <v>27</v>
      </c>
      <c r="F93" s="9" t="s">
        <v>494</v>
      </c>
      <c r="G93" s="9" t="s">
        <v>495</v>
      </c>
      <c r="H93" s="9" t="s">
        <v>496</v>
      </c>
      <c r="I93" s="29"/>
      <c r="J93" s="30"/>
      <c r="K93" s="31"/>
      <c r="L93" s="30"/>
      <c r="M93" s="30"/>
      <c r="N93" s="30"/>
      <c r="O93" s="31"/>
      <c r="P93" s="32"/>
      <c r="Q93" s="32"/>
      <c r="R93" s="33"/>
      <c r="S93" s="31"/>
      <c r="T93" s="32"/>
      <c r="U93" s="30"/>
      <c r="V93" s="33"/>
      <c r="W93" s="31"/>
      <c r="X93" s="32"/>
      <c r="Y93" s="30"/>
      <c r="Z93" s="31"/>
      <c r="AA93" s="31"/>
      <c r="AB93" s="32"/>
      <c r="AC93" s="32"/>
      <c r="AD93" s="34"/>
      <c r="AE93" s="34"/>
    </row>
    <row r="94" ht="15.75" customHeight="1">
      <c r="A94" s="6" t="s">
        <v>497</v>
      </c>
      <c r="B94" s="6" t="s">
        <v>477</v>
      </c>
      <c r="C94" s="14" t="s">
        <v>498</v>
      </c>
      <c r="D94" s="6" t="s">
        <v>66</v>
      </c>
      <c r="E94" s="6" t="s">
        <v>27</v>
      </c>
      <c r="F94" s="9" t="s">
        <v>499</v>
      </c>
      <c r="G94" s="9" t="s">
        <v>500</v>
      </c>
      <c r="H94" s="9" t="s">
        <v>501</v>
      </c>
      <c r="I94" s="29"/>
      <c r="J94" s="30"/>
      <c r="K94" s="31"/>
      <c r="L94" s="30"/>
      <c r="M94" s="30"/>
      <c r="N94" s="30"/>
      <c r="O94" s="31"/>
      <c r="P94" s="32"/>
      <c r="Q94" s="32"/>
      <c r="R94" s="33"/>
      <c r="S94" s="31"/>
      <c r="T94" s="32"/>
      <c r="U94" s="30"/>
      <c r="V94" s="33"/>
      <c r="W94" s="31"/>
      <c r="X94" s="32"/>
      <c r="Y94" s="30"/>
      <c r="Z94" s="31"/>
      <c r="AA94" s="31"/>
      <c r="AB94" s="32"/>
      <c r="AC94" s="32"/>
      <c r="AD94" s="34"/>
      <c r="AE94" s="34"/>
    </row>
    <row r="95" ht="15.75" customHeight="1">
      <c r="A95" s="6" t="s">
        <v>502</v>
      </c>
      <c r="B95" s="6" t="s">
        <v>477</v>
      </c>
      <c r="C95" s="14" t="s">
        <v>503</v>
      </c>
      <c r="D95" s="6" t="s">
        <v>39</v>
      </c>
      <c r="E95" s="6" t="s">
        <v>27</v>
      </c>
      <c r="F95" s="9" t="s">
        <v>504</v>
      </c>
      <c r="G95" s="9" t="s">
        <v>505</v>
      </c>
      <c r="H95" s="9" t="s">
        <v>506</v>
      </c>
      <c r="I95" s="29"/>
      <c r="J95" s="30"/>
      <c r="K95" s="31"/>
      <c r="L95" s="30"/>
      <c r="M95" s="30"/>
      <c r="N95" s="30"/>
      <c r="O95" s="31"/>
      <c r="P95" s="32"/>
      <c r="Q95" s="32"/>
      <c r="R95" s="33"/>
      <c r="S95" s="31"/>
      <c r="T95" s="32"/>
      <c r="U95" s="30"/>
      <c r="V95" s="33"/>
      <c r="W95" s="31"/>
      <c r="X95" s="32"/>
      <c r="Y95" s="30"/>
      <c r="Z95" s="31"/>
      <c r="AA95" s="31"/>
      <c r="AB95" s="32"/>
      <c r="AC95" s="32"/>
      <c r="AD95" s="34"/>
      <c r="AE95" s="34"/>
    </row>
    <row r="96" ht="15.75" customHeight="1">
      <c r="A96" s="6" t="s">
        <v>507</v>
      </c>
      <c r="B96" s="6" t="s">
        <v>477</v>
      </c>
      <c r="C96" s="14" t="s">
        <v>508</v>
      </c>
      <c r="D96" s="6" t="s">
        <v>33</v>
      </c>
      <c r="E96" s="6" t="s">
        <v>27</v>
      </c>
      <c r="F96" s="9" t="s">
        <v>509</v>
      </c>
      <c r="G96" s="9" t="s">
        <v>510</v>
      </c>
      <c r="H96" s="9" t="s">
        <v>511</v>
      </c>
      <c r="I96" s="29"/>
      <c r="J96" s="30"/>
      <c r="K96" s="31"/>
      <c r="L96" s="30"/>
      <c r="M96" s="30"/>
      <c r="N96" s="30"/>
      <c r="O96" s="31"/>
      <c r="P96" s="32"/>
      <c r="Q96" s="32"/>
      <c r="R96" s="33"/>
      <c r="S96" s="31"/>
      <c r="T96" s="32"/>
      <c r="U96" s="30"/>
      <c r="V96" s="33"/>
      <c r="W96" s="31"/>
      <c r="X96" s="32"/>
      <c r="Y96" s="30"/>
      <c r="Z96" s="31"/>
      <c r="AA96" s="31"/>
      <c r="AB96" s="32"/>
      <c r="AC96" s="32"/>
      <c r="AD96" s="34"/>
      <c r="AE96" s="34"/>
    </row>
    <row r="97" ht="15.75" customHeight="1">
      <c r="A97" s="6" t="s">
        <v>512</v>
      </c>
      <c r="B97" s="6" t="s">
        <v>477</v>
      </c>
      <c r="C97" s="14" t="s">
        <v>513</v>
      </c>
      <c r="D97" s="6" t="s">
        <v>45</v>
      </c>
      <c r="E97" s="6" t="s">
        <v>27</v>
      </c>
      <c r="F97" s="9" t="s">
        <v>514</v>
      </c>
      <c r="G97" s="9" t="s">
        <v>515</v>
      </c>
      <c r="H97" s="9" t="s">
        <v>516</v>
      </c>
      <c r="I97" s="29"/>
      <c r="J97" s="30"/>
      <c r="K97" s="31"/>
      <c r="L97" s="30"/>
      <c r="M97" s="30"/>
      <c r="N97" s="30"/>
      <c r="O97" s="31"/>
      <c r="P97" s="32"/>
      <c r="Q97" s="32"/>
      <c r="R97" s="33"/>
      <c r="S97" s="31"/>
      <c r="T97" s="32"/>
      <c r="U97" s="30"/>
      <c r="V97" s="33"/>
      <c r="W97" s="31"/>
      <c r="X97" s="32"/>
      <c r="Y97" s="30"/>
      <c r="Z97" s="31"/>
      <c r="AA97" s="31"/>
      <c r="AB97" s="32"/>
      <c r="AC97" s="32"/>
      <c r="AD97" s="34"/>
      <c r="AE97" s="34"/>
    </row>
    <row r="98" ht="15.75" customHeight="1">
      <c r="A98" s="6" t="s">
        <v>517</v>
      </c>
      <c r="B98" s="6" t="s">
        <v>477</v>
      </c>
      <c r="C98" s="14" t="s">
        <v>518</v>
      </c>
      <c r="D98" s="6" t="s">
        <v>39</v>
      </c>
      <c r="E98" s="6" t="s">
        <v>27</v>
      </c>
      <c r="F98" s="9" t="s">
        <v>519</v>
      </c>
      <c r="G98" s="9" t="s">
        <v>520</v>
      </c>
      <c r="H98" s="9" t="s">
        <v>521</v>
      </c>
      <c r="I98" s="29"/>
      <c r="J98" s="30"/>
      <c r="K98" s="31"/>
      <c r="L98" s="30"/>
      <c r="M98" s="30"/>
      <c r="N98" s="30"/>
      <c r="O98" s="31"/>
      <c r="P98" s="32"/>
      <c r="Q98" s="32"/>
      <c r="R98" s="33"/>
      <c r="S98" s="31"/>
      <c r="T98" s="32"/>
      <c r="U98" s="30"/>
      <c r="V98" s="33"/>
      <c r="W98" s="31"/>
      <c r="X98" s="32"/>
      <c r="Y98" s="30"/>
      <c r="Z98" s="31"/>
      <c r="AA98" s="31"/>
      <c r="AB98" s="32"/>
      <c r="AC98" s="32"/>
      <c r="AD98" s="34"/>
      <c r="AE98" s="34"/>
    </row>
    <row r="99" ht="15.75" customHeight="1">
      <c r="A99" s="6" t="s">
        <v>522</v>
      </c>
      <c r="B99" s="6" t="s">
        <v>477</v>
      </c>
      <c r="C99" s="14" t="s">
        <v>523</v>
      </c>
      <c r="D99" s="6" t="s">
        <v>66</v>
      </c>
      <c r="E99" s="6" t="s">
        <v>27</v>
      </c>
      <c r="F99" s="9" t="s">
        <v>524</v>
      </c>
      <c r="G99" s="9" t="s">
        <v>525</v>
      </c>
      <c r="H99" s="9" t="s">
        <v>526</v>
      </c>
      <c r="I99" s="29"/>
      <c r="J99" s="30"/>
      <c r="K99" s="31"/>
      <c r="L99" s="30"/>
      <c r="M99" s="30"/>
      <c r="N99" s="30"/>
      <c r="O99" s="31"/>
      <c r="P99" s="32"/>
      <c r="Q99" s="32"/>
      <c r="R99" s="33"/>
      <c r="S99" s="31"/>
      <c r="T99" s="32"/>
      <c r="U99" s="30"/>
      <c r="V99" s="33"/>
      <c r="W99" s="31"/>
      <c r="X99" s="32"/>
      <c r="Y99" s="30"/>
      <c r="Z99" s="31"/>
      <c r="AA99" s="31"/>
      <c r="AB99" s="32"/>
      <c r="AC99" s="32"/>
      <c r="AD99" s="34"/>
      <c r="AE99" s="34"/>
    </row>
    <row r="100" ht="15.75" customHeight="1">
      <c r="A100" s="6" t="s">
        <v>527</v>
      </c>
      <c r="B100" s="6" t="s">
        <v>477</v>
      </c>
      <c r="C100" s="14" t="s">
        <v>528</v>
      </c>
      <c r="D100" s="6" t="s">
        <v>39</v>
      </c>
      <c r="E100" s="6" t="s">
        <v>27</v>
      </c>
      <c r="F100" s="9" t="s">
        <v>529</v>
      </c>
      <c r="G100" s="9" t="s">
        <v>530</v>
      </c>
      <c r="H100" s="9" t="s">
        <v>531</v>
      </c>
      <c r="I100" s="29"/>
      <c r="J100" s="30"/>
      <c r="K100" s="31"/>
      <c r="L100" s="30"/>
      <c r="M100" s="30"/>
      <c r="N100" s="30"/>
      <c r="O100" s="31"/>
      <c r="P100" s="32"/>
      <c r="Q100" s="32"/>
      <c r="R100" s="33"/>
      <c r="S100" s="31"/>
      <c r="T100" s="32"/>
      <c r="U100" s="30"/>
      <c r="V100" s="33"/>
      <c r="W100" s="31"/>
      <c r="X100" s="32"/>
      <c r="Y100" s="30"/>
      <c r="Z100" s="31"/>
      <c r="AA100" s="31"/>
      <c r="AB100" s="32"/>
      <c r="AC100" s="32"/>
      <c r="AD100" s="34"/>
      <c r="AE100" s="34"/>
    </row>
    <row r="101" ht="15.75" customHeight="1">
      <c r="A101" s="6" t="s">
        <v>532</v>
      </c>
      <c r="B101" s="6" t="s">
        <v>477</v>
      </c>
      <c r="C101" s="14" t="s">
        <v>533</v>
      </c>
      <c r="D101" s="6" t="s">
        <v>33</v>
      </c>
      <c r="E101" s="6" t="s">
        <v>27</v>
      </c>
      <c r="F101" s="9" t="s">
        <v>534</v>
      </c>
      <c r="G101" s="9" t="s">
        <v>535</v>
      </c>
      <c r="H101" s="9" t="s">
        <v>536</v>
      </c>
      <c r="I101" s="29"/>
      <c r="J101" s="30"/>
      <c r="K101" s="31"/>
      <c r="L101" s="30"/>
      <c r="M101" s="30"/>
      <c r="N101" s="30"/>
      <c r="O101" s="31"/>
      <c r="P101" s="32"/>
      <c r="Q101" s="32"/>
      <c r="R101" s="33"/>
      <c r="S101" s="31"/>
      <c r="T101" s="32"/>
      <c r="U101" s="30"/>
      <c r="V101" s="33"/>
      <c r="W101" s="31"/>
      <c r="X101" s="32"/>
      <c r="Y101" s="30"/>
      <c r="Z101" s="31"/>
      <c r="AA101" s="31"/>
      <c r="AB101" s="32"/>
      <c r="AC101" s="32"/>
      <c r="AD101" s="34"/>
      <c r="AE101" s="34"/>
    </row>
  </sheetData>
  <dataValidations>
    <dataValidation type="list" allowBlank="1" showErrorMessage="1" sqref="I2:I101">
      <formula1>"Yes hallucination,No hallucination"</formula1>
    </dataValidation>
    <dataValidation type="list" allowBlank="1" showErrorMessage="1" sqref="L2:L101">
      <formula1>"Yes clinical inference,No clinical inference"</formula1>
    </dataValidation>
    <dataValidation type="list" allowBlank="1" showErrorMessage="1" sqref="M2:M101">
      <formula1>"Safe, Deducible Inference,Unsafe, NON-Deducible Inference,Safe, NON-Deducible Inference"</formula1>
    </dataValidation>
    <dataValidation type="list" allowBlank="1" showErrorMessage="1" sqref="T2:T101">
      <formula1>"Yes extraneous information,No extraneous information"</formula1>
    </dataValidation>
    <dataValidation type="list" allowBlank="1" showErrorMessage="1" sqref="P2:P101">
      <formula1>"Yes omission,No omission"</formula1>
    </dataValidation>
    <dataValidation type="list" allowBlank="1" showErrorMessage="1" sqref="R2:R101 V2:V101">
      <formula1>"Critical,Significant,Minor,None"</formula1>
    </dataValidation>
    <dataValidation type="list" allowBlank="1" showErrorMessage="1" sqref="X2:X101">
      <formula1>"Yes flow issues,No flow issues"</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4" max="4" width="7.5"/>
    <col customWidth="1" min="9" max="9" width="18.5"/>
  </cols>
  <sheetData>
    <row r="1">
      <c r="A1" s="35" t="s">
        <v>537</v>
      </c>
      <c r="B1" s="36" t="s">
        <v>538</v>
      </c>
      <c r="C1" s="36" t="s">
        <v>539</v>
      </c>
      <c r="E1" s="37" t="s">
        <v>8</v>
      </c>
      <c r="F1" s="37" t="s">
        <v>540</v>
      </c>
      <c r="G1" s="37" t="s">
        <v>11</v>
      </c>
      <c r="H1" s="37" t="s">
        <v>13</v>
      </c>
      <c r="I1" s="37" t="s">
        <v>541</v>
      </c>
      <c r="J1" s="37" t="s">
        <v>19</v>
      </c>
    </row>
    <row r="2">
      <c r="A2" s="38" t="s">
        <v>542</v>
      </c>
      <c r="B2" s="39" t="str">
        <f>AVERAGE(E:E)</f>
        <v>#DIV/0!</v>
      </c>
      <c r="C2" s="39" t="str">
        <f t="shared" ref="C2:C7" si="1">(1-B2)</f>
        <v>#DIV/0!</v>
      </c>
      <c r="E2" s="40" t="str">
        <f>IF(ISBLANK(pvs_eval!I2), "", IF(pvs_eval!I2 = "No hallucination", 1, 0))</f>
        <v/>
      </c>
      <c r="F2" s="40" t="str">
        <f>IF(ISBLANK(pvs_eval!L2), "", IF(pvs_eval!L2 = "No clinical inference", 1, 0))</f>
        <v/>
      </c>
      <c r="G2" s="40" t="str">
        <f>IF(ISBLANK(pvs_eval!M2), "", IF(pvs_eval!M2 = "Unsafe, Non-Deducible Inference", 0, 1))</f>
        <v/>
      </c>
      <c r="H2" s="40" t="str">
        <f>IF(ISBLANK(pvs_eval!P2), "", IF(pvs_eval!P2 = "No omission", 1, 0))</f>
        <v/>
      </c>
      <c r="I2" s="40" t="str">
        <f>IF(ISBLANK(pvs_eval!T2), "", IF(pvs_eval!T2 = "No extraneous information", 1, 0))</f>
        <v/>
      </c>
      <c r="J2" s="40" t="str">
        <f>IF(ISBLANK(pvs_eval!X2), "", IF(pvs_eval!X2 = "No flow issues", 1, 0))</f>
        <v/>
      </c>
    </row>
    <row r="3">
      <c r="A3" s="38" t="s">
        <v>540</v>
      </c>
      <c r="B3" s="39" t="str">
        <f>AVERAGE(F:F)</f>
        <v>#DIV/0!</v>
      </c>
      <c r="C3" s="39" t="str">
        <f t="shared" si="1"/>
        <v>#DIV/0!</v>
      </c>
      <c r="E3" s="40" t="str">
        <f>IF(ISBLANK(pvs_eval!I3), "", IF(pvs_eval!I3 = "No hallucination", 1, 0))</f>
        <v/>
      </c>
      <c r="F3" s="40" t="str">
        <f>IF(ISBLANK(pvs_eval!L3), "", IF(pvs_eval!L3 = "No clinical inference", 1, 0))</f>
        <v/>
      </c>
      <c r="G3" s="40" t="str">
        <f>IF(ISBLANK(pvs_eval!M3), "", IF(pvs_eval!M3 = "Unsafe, Non-Deducible Inference", 0, 1))</f>
        <v/>
      </c>
      <c r="H3" s="40" t="str">
        <f>IF(ISBLANK(pvs_eval!P3), "", IF(pvs_eval!P3 = "No omission", 1, 0))</f>
        <v/>
      </c>
      <c r="I3" s="40" t="str">
        <f>IF(ISBLANK(pvs_eval!T3), "", IF(pvs_eval!T3 = "No extraneous information", 1, 0))</f>
        <v/>
      </c>
      <c r="J3" s="40" t="str">
        <f>IF(ISBLANK(pvs_eval!X3), "", IF(pvs_eval!X3 = "No flow issues", 1, 0))</f>
        <v/>
      </c>
    </row>
    <row r="4">
      <c r="A4" s="38" t="s">
        <v>11</v>
      </c>
      <c r="B4" s="39" t="str">
        <f>AVERAGE(G:G)</f>
        <v>#DIV/0!</v>
      </c>
      <c r="C4" s="39" t="str">
        <f t="shared" si="1"/>
        <v>#DIV/0!</v>
      </c>
      <c r="E4" s="40" t="str">
        <f>IF(ISBLANK(pvs_eval!I5), "", IF(pvs_eval!I5 = "No hallucination", 1, 0))</f>
        <v/>
      </c>
      <c r="F4" s="40" t="str">
        <f>IF(ISBLANK(pvs_eval!L5), "", IF(pvs_eval!L5 = "No clinical inference", 1, 0))</f>
        <v/>
      </c>
      <c r="G4" s="40" t="str">
        <f>IF(ISBLANK(pvs_eval!M5), "", IF(pvs_eval!M5 = "Unsafe, Non-Deducible Inference", 0, 1))</f>
        <v/>
      </c>
      <c r="H4" s="40" t="str">
        <f>IF(ISBLANK(pvs_eval!P5), "", IF(pvs_eval!P5 = "No omission", 1, 0))</f>
        <v/>
      </c>
      <c r="I4" s="40" t="str">
        <f>IF(ISBLANK(pvs_eval!T5), "", IF(pvs_eval!T5 = "No extraneous information", 1, 0))</f>
        <v/>
      </c>
      <c r="J4" s="40" t="str">
        <f>IF(ISBLANK(pvs_eval!X5), "", IF(pvs_eval!X5 = "No flow issues", 1, 0))</f>
        <v/>
      </c>
    </row>
    <row r="5">
      <c r="A5" s="38" t="s">
        <v>13</v>
      </c>
      <c r="B5" s="39" t="str">
        <f>AVERAGE(H:H)</f>
        <v>#DIV/0!</v>
      </c>
      <c r="C5" s="39" t="str">
        <f t="shared" si="1"/>
        <v>#DIV/0!</v>
      </c>
      <c r="E5" s="40" t="str">
        <f>IF(ISBLANK(pvs_eval!I6), "", IF(pvs_eval!I6 = "No hallucination", 1, 0))</f>
        <v/>
      </c>
      <c r="F5" s="40" t="str">
        <f>IF(ISBLANK(pvs_eval!L6), "", IF(pvs_eval!L6 = "No clinical inference", 1, 0))</f>
        <v/>
      </c>
      <c r="G5" s="40" t="str">
        <f>IF(ISBLANK(pvs_eval!M6), "", IF(pvs_eval!M6 = "Unsafe, Non-Deducible Inference", 0, 1))</f>
        <v/>
      </c>
      <c r="H5" s="40" t="str">
        <f>IF(ISBLANK(pvs_eval!P6), "", IF(pvs_eval!P6 = "No omission", 1, 0))</f>
        <v/>
      </c>
      <c r="I5" s="40" t="str">
        <f>IF(ISBLANK(pvs_eval!T6), "", IF(pvs_eval!T6 = "No extraneous information", 1, 0))</f>
        <v/>
      </c>
      <c r="J5" s="40" t="str">
        <f>IF(ISBLANK(pvs_eval!X6), "", IF(pvs_eval!X6 = "No flow issues", 1, 0))</f>
        <v/>
      </c>
    </row>
    <row r="6">
      <c r="A6" s="38" t="s">
        <v>543</v>
      </c>
      <c r="B6" s="39" t="str">
        <f>AVERAGE(I:I)</f>
        <v>#DIV/0!</v>
      </c>
      <c r="C6" s="39" t="str">
        <f t="shared" si="1"/>
        <v>#DIV/0!</v>
      </c>
      <c r="E6" s="40" t="str">
        <f>IF(ISBLANK(pvs_eval!I7), "", IF(pvs_eval!I7 = "No hallucination", 1, 0))</f>
        <v/>
      </c>
      <c r="F6" s="40" t="str">
        <f>IF(ISBLANK(pvs_eval!L7), "", IF(pvs_eval!L7 = "No clinical inference", 1, 0))</f>
        <v/>
      </c>
      <c r="G6" s="40" t="str">
        <f>IF(ISBLANK(pvs_eval!M7), "", IF(pvs_eval!M7 = "Unsafe, Non-Deducible Inference", 0, 1))</f>
        <v/>
      </c>
      <c r="H6" s="40" t="str">
        <f>IF(ISBLANK(pvs_eval!P7), "", IF(pvs_eval!P7 = "No omission", 1, 0))</f>
        <v/>
      </c>
      <c r="I6" s="40" t="str">
        <f>IF(ISBLANK(pvs_eval!T7), "", IF(pvs_eval!T7 = "No extraneous information", 1, 0))</f>
        <v/>
      </c>
      <c r="J6" s="40" t="str">
        <f>IF(ISBLANK(pvs_eval!X7), "", IF(pvs_eval!X7 = "No flow issues", 1, 0))</f>
        <v/>
      </c>
    </row>
    <row r="7">
      <c r="A7" s="38" t="s">
        <v>19</v>
      </c>
      <c r="B7" s="39" t="str">
        <f>AVERAGE(J:J)</f>
        <v>#DIV/0!</v>
      </c>
      <c r="C7" s="39" t="str">
        <f t="shared" si="1"/>
        <v>#DIV/0!</v>
      </c>
      <c r="E7" s="40" t="str">
        <f>IF(ISBLANK(pvs_eval!I8), "", IF(pvs_eval!I8 = "No hallucination", 1, 0))</f>
        <v/>
      </c>
      <c r="F7" s="40" t="str">
        <f>IF(ISBLANK(pvs_eval!L8), "", IF(pvs_eval!L8 = "No clinical inference", 1, 0))</f>
        <v/>
      </c>
      <c r="G7" s="40" t="str">
        <f>IF(ISBLANK(pvs_eval!M8), "", IF(pvs_eval!M8 = "Unsafe, Non-Deducible Inference", 0, 1))</f>
        <v/>
      </c>
      <c r="H7" s="40" t="str">
        <f>IF(ISBLANK(pvs_eval!P8), "", IF(pvs_eval!P8 = "No omission", 1, 0))</f>
        <v/>
      </c>
      <c r="I7" s="40" t="str">
        <f>IF(ISBLANK(pvs_eval!T8), "", IF(pvs_eval!T8 = "No extraneous information", 1, 0))</f>
        <v/>
      </c>
      <c r="J7" s="40" t="str">
        <f>IF(ISBLANK(pvs_eval!X8), "", IF(pvs_eval!X8 = "No flow issues", 1, 0))</f>
        <v/>
      </c>
    </row>
    <row r="8">
      <c r="A8" s="41"/>
      <c r="E8" s="40" t="str">
        <f>IF(ISBLANK(pvs_eval!I10), "", IF(pvs_eval!I10 = "No hallucination", 1, 0))</f>
        <v/>
      </c>
      <c r="F8" s="40" t="str">
        <f>IF(ISBLANK(pvs_eval!L10), "", IF(pvs_eval!L10 = "No clinical inference", 1, 0))</f>
        <v/>
      </c>
      <c r="G8" s="40" t="str">
        <f>IF(ISBLANK(pvs_eval!M10), "", IF(pvs_eval!M10 = "Unsafe, Non-Deducible Inference", 0, 1))</f>
        <v/>
      </c>
      <c r="H8" s="40" t="str">
        <f>IF(ISBLANK(pvs_eval!P10), "", IF(pvs_eval!P10 = "No omission", 1, 0))</f>
        <v/>
      </c>
      <c r="I8" s="40" t="str">
        <f>IF(ISBLANK(pvs_eval!T10), "", IF(pvs_eval!T10 = "No extraneous information", 1, 0))</f>
        <v/>
      </c>
      <c r="J8" s="40" t="str">
        <f>IF(ISBLANK(pvs_eval!X10), "", IF(pvs_eval!X10 = "No flow issues", 1, 0))</f>
        <v/>
      </c>
    </row>
    <row r="9">
      <c r="A9" s="38" t="s">
        <v>544</v>
      </c>
      <c r="B9" s="42">
        <f>COUNT(E:E)</f>
        <v>0</v>
      </c>
      <c r="E9" s="40" t="str">
        <f>IF(ISBLANK(pvs_eval!I11), "", IF(pvs_eval!I11 = "No hallucination", 1, 0))</f>
        <v/>
      </c>
      <c r="F9" s="40" t="str">
        <f>IF(ISBLANK(pvs_eval!L11), "", IF(pvs_eval!L11 = "No clinical inference", 1, 0))</f>
        <v/>
      </c>
      <c r="G9" s="40" t="str">
        <f>IF(ISBLANK(pvs_eval!M11), "", IF(pvs_eval!M11 = "Unsafe, Non-Deducible Inference", 0, 1))</f>
        <v/>
      </c>
      <c r="H9" s="40" t="str">
        <f>IF(ISBLANK(pvs_eval!P11), "", IF(pvs_eval!P11 = "No omission", 1, 0))</f>
        <v/>
      </c>
      <c r="I9" s="40" t="str">
        <f>IF(ISBLANK(pvs_eval!T11), "", IF(pvs_eval!T11 = "No extraneous information", 1, 0))</f>
        <v/>
      </c>
      <c r="J9" s="40" t="str">
        <f>IF(ISBLANK(pvs_eval!X11), "", IF(pvs_eval!X11 = "No flow issues", 1, 0))</f>
        <v/>
      </c>
    </row>
    <row r="10">
      <c r="A10" s="41"/>
      <c r="E10" s="40" t="str">
        <f>IF(ISBLANK(pvs_eval!I12), "", IF(pvs_eval!I12 = "No hallucination", 1, 0))</f>
        <v/>
      </c>
      <c r="F10" s="40" t="str">
        <f>IF(ISBLANK(pvs_eval!L12), "", IF(pvs_eval!L12 = "No clinical inference", 1, 0))</f>
        <v/>
      </c>
      <c r="G10" s="40" t="str">
        <f>IF(ISBLANK(pvs_eval!M12), "", IF(pvs_eval!M12 = "Unsafe, Non-Deducible Inference", 0, 1))</f>
        <v/>
      </c>
      <c r="H10" s="40" t="str">
        <f>IF(ISBLANK(pvs_eval!P12), "", IF(pvs_eval!P12 = "No omission", 1, 0))</f>
        <v/>
      </c>
      <c r="I10" s="40" t="str">
        <f>IF(ISBLANK(pvs_eval!T12), "", IF(pvs_eval!T12 = "No extraneous information", 1, 0))</f>
        <v/>
      </c>
      <c r="J10" s="40" t="str">
        <f>IF(ISBLANK(pvs_eval!X12), "", IF(pvs_eval!X12 = "No flow issues", 1, 0))</f>
        <v/>
      </c>
    </row>
    <row r="11">
      <c r="A11" s="43"/>
      <c r="E11" s="40" t="str">
        <f>IF(ISBLANK(pvs_eval!I13), "", IF(pvs_eval!I13 = "No hallucination", 1, 0))</f>
        <v/>
      </c>
      <c r="F11" s="40" t="str">
        <f>IF(ISBLANK(pvs_eval!L13), "", IF(pvs_eval!L13 = "No clinical inference", 1, 0))</f>
        <v/>
      </c>
      <c r="G11" s="40" t="str">
        <f>IF(ISBLANK(pvs_eval!M13), "", IF(pvs_eval!M13 = "Unsafe, Non-Deducible Inference", 0, 1))</f>
        <v/>
      </c>
      <c r="H11" s="40" t="str">
        <f>IF(ISBLANK(pvs_eval!P13), "", IF(pvs_eval!P13 = "No omission", 1, 0))</f>
        <v/>
      </c>
      <c r="I11" s="40" t="str">
        <f>IF(ISBLANK(pvs_eval!T13), "", IF(pvs_eval!T13 = "No extraneous information", 1, 0))</f>
        <v/>
      </c>
      <c r="J11" s="40" t="str">
        <f>IF(ISBLANK(pvs_eval!X13), "", IF(pvs_eval!X13 = "No flow issues", 1, 0))</f>
        <v/>
      </c>
    </row>
    <row r="12">
      <c r="A12" s="43"/>
      <c r="E12" s="40" t="str">
        <f>IF(ISBLANK(pvs_eval!I15), "", IF(pvs_eval!I15 = "No hallucination", 1, 0))</f>
        <v/>
      </c>
      <c r="F12" s="40" t="str">
        <f>IF(ISBLANK(pvs_eval!L15), "", IF(pvs_eval!L15 = "No clinical inference", 1, 0))</f>
        <v/>
      </c>
      <c r="G12" s="40" t="str">
        <f>IF(ISBLANK(pvs_eval!M15), "", IF(pvs_eval!M15 = "Unsafe, Non-Deducible Inference", 0, 1))</f>
        <v/>
      </c>
      <c r="H12" s="40" t="str">
        <f>IF(ISBLANK(pvs_eval!P15), "", IF(pvs_eval!P15 = "No omission", 1, 0))</f>
        <v/>
      </c>
      <c r="I12" s="40" t="str">
        <f>IF(ISBLANK(pvs_eval!T15), "", IF(pvs_eval!T15 = "No extraneous information", 1, 0))</f>
        <v/>
      </c>
      <c r="J12" s="40" t="str">
        <f>IF(ISBLANK(pvs_eval!X15), "", IF(pvs_eval!X15 = "No flow issues", 1, 0))</f>
        <v/>
      </c>
    </row>
    <row r="13">
      <c r="A13" s="41"/>
      <c r="E13" s="40" t="str">
        <f>IF(ISBLANK(pvs_eval!I16), "", IF(pvs_eval!I16 = "No hallucination", 1, 0))</f>
        <v/>
      </c>
      <c r="F13" s="40" t="str">
        <f>IF(ISBLANK(pvs_eval!L16), "", IF(pvs_eval!L16 = "No clinical inference", 1, 0))</f>
        <v/>
      </c>
      <c r="G13" s="40" t="str">
        <f>IF(ISBLANK(pvs_eval!M16), "", IF(pvs_eval!M16 = "Unsafe, Non-Deducible Inference", 0, 1))</f>
        <v/>
      </c>
      <c r="H13" s="40" t="str">
        <f>IF(ISBLANK(pvs_eval!P16), "", IF(pvs_eval!P16 = "No omission", 1, 0))</f>
        <v/>
      </c>
      <c r="I13" s="40" t="str">
        <f>IF(ISBLANK(pvs_eval!T16), "", IF(pvs_eval!T16 = "No extraneous information", 1, 0))</f>
        <v/>
      </c>
      <c r="J13" s="40" t="str">
        <f>IF(ISBLANK(pvs_eval!X16), "", IF(pvs_eval!X16 = "No flow issues", 1, 0))</f>
        <v/>
      </c>
    </row>
    <row r="14">
      <c r="A14" s="41"/>
      <c r="E14" s="40" t="str">
        <f>IF(ISBLANK(pvs_eval!I17), "", IF(pvs_eval!I17 = "No hallucination", 1, 0))</f>
        <v/>
      </c>
      <c r="F14" s="40" t="str">
        <f>IF(ISBLANK(pvs_eval!L17), "", IF(pvs_eval!L17 = "No clinical inference", 1, 0))</f>
        <v/>
      </c>
      <c r="G14" s="40" t="str">
        <f>IF(ISBLANK(pvs_eval!M17), "", IF(pvs_eval!M17 = "Unsafe, Non-Deducible Inference", 0, 1))</f>
        <v/>
      </c>
      <c r="H14" s="40" t="str">
        <f>IF(ISBLANK(pvs_eval!P17), "", IF(pvs_eval!P17 = "No omission", 1, 0))</f>
        <v/>
      </c>
      <c r="I14" s="40" t="str">
        <f>IF(ISBLANK(pvs_eval!T17), "", IF(pvs_eval!T17 = "No extraneous information", 1, 0))</f>
        <v/>
      </c>
      <c r="J14" s="40" t="str">
        <f>IF(ISBLANK(pvs_eval!X17), "", IF(pvs_eval!X17 = "No flow issues", 1, 0))</f>
        <v/>
      </c>
    </row>
    <row r="15">
      <c r="A15" s="43"/>
      <c r="E15" s="40" t="str">
        <f>IF(ISBLANK(pvs_eval!I18), "", IF(pvs_eval!I18 = "No hallucination", 1, 0))</f>
        <v/>
      </c>
      <c r="F15" s="40" t="str">
        <f>IF(ISBLANK(pvs_eval!L18), "", IF(pvs_eval!L18 = "No clinical inference", 1, 0))</f>
        <v/>
      </c>
      <c r="G15" s="40" t="str">
        <f>IF(ISBLANK(pvs_eval!M18), "", IF(pvs_eval!M18 = "Unsafe, Non-Deducible Inference", 0, 1))</f>
        <v/>
      </c>
      <c r="H15" s="40" t="str">
        <f>IF(ISBLANK(pvs_eval!P18), "", IF(pvs_eval!P18 = "No omission", 1, 0))</f>
        <v/>
      </c>
      <c r="I15" s="40" t="str">
        <f>IF(ISBLANK(pvs_eval!T18), "", IF(pvs_eval!T18 = "No extraneous information", 1, 0))</f>
        <v/>
      </c>
      <c r="J15" s="40" t="str">
        <f>IF(ISBLANK(pvs_eval!X18), "", IF(pvs_eval!X18 = "No flow issues", 1, 0))</f>
        <v/>
      </c>
    </row>
    <row r="16">
      <c r="A16" s="43"/>
      <c r="E16" s="40" t="str">
        <f>IF(ISBLANK(pvs_eval!I20), "", IF(pvs_eval!I20 = "No hallucination", 1, 0))</f>
        <v/>
      </c>
      <c r="F16" s="40" t="str">
        <f>IF(ISBLANK(pvs_eval!L20), "", IF(pvs_eval!L20 = "No clinical inference", 1, 0))</f>
        <v/>
      </c>
      <c r="G16" s="40" t="str">
        <f>IF(ISBLANK(pvs_eval!M20), "", IF(pvs_eval!M20 = "Unsafe, Non-Deducible Inference", 0, 1))</f>
        <v/>
      </c>
      <c r="H16" s="40" t="str">
        <f>IF(ISBLANK(pvs_eval!P20), "", IF(pvs_eval!P20 = "No omission", 1, 0))</f>
        <v/>
      </c>
      <c r="I16" s="40" t="str">
        <f>IF(ISBLANK(pvs_eval!T20), "", IF(pvs_eval!T20 = "No extraneous information", 1, 0))</f>
        <v/>
      </c>
      <c r="J16" s="40" t="str">
        <f>IF(ISBLANK(pvs_eval!X20), "", IF(pvs_eval!X20 = "No flow issues", 1, 0))</f>
        <v/>
      </c>
    </row>
    <row r="17">
      <c r="A17" s="43"/>
      <c r="E17" s="40" t="str">
        <f>IF(ISBLANK(pvs_eval!I21), "", IF(pvs_eval!I21 = "No hallucination", 1, 0))</f>
        <v/>
      </c>
      <c r="F17" s="40" t="str">
        <f>IF(ISBLANK(pvs_eval!L21), "", IF(pvs_eval!L21 = "No clinical inference", 1, 0))</f>
        <v/>
      </c>
      <c r="G17" s="40" t="str">
        <f>IF(ISBLANK(pvs_eval!M21), "", IF(pvs_eval!M21 = "Unsafe, Non-Deducible Inference", 0, 1))</f>
        <v/>
      </c>
      <c r="H17" s="40" t="str">
        <f>IF(ISBLANK(pvs_eval!P21), "", IF(pvs_eval!P21 = "No omission", 1, 0))</f>
        <v/>
      </c>
      <c r="I17" s="40" t="str">
        <f>IF(ISBLANK(pvs_eval!T21), "", IF(pvs_eval!T21 = "No extraneous information", 1, 0))</f>
        <v/>
      </c>
      <c r="J17" s="40" t="str">
        <f>IF(ISBLANK(pvs_eval!X21), "", IF(pvs_eval!X21 = "No flow issues", 1, 0))</f>
        <v/>
      </c>
    </row>
    <row r="18">
      <c r="A18" s="43"/>
      <c r="E18" s="40" t="str">
        <f>IF(ISBLANK(pvs_eval!I22), "", IF(pvs_eval!I22 = "No hallucination", 1, 0))</f>
        <v/>
      </c>
      <c r="F18" s="40" t="str">
        <f>IF(ISBLANK(pvs_eval!L22), "", IF(pvs_eval!L22 = "No clinical inference", 1, 0))</f>
        <v/>
      </c>
      <c r="G18" s="40" t="str">
        <f>IF(ISBLANK(pvs_eval!M22), "", IF(pvs_eval!M22 = "Unsafe, Non-Deducible Inference", 0, 1))</f>
        <v/>
      </c>
      <c r="H18" s="40" t="str">
        <f>IF(ISBLANK(pvs_eval!P22), "", IF(pvs_eval!P22 = "No omission", 1, 0))</f>
        <v/>
      </c>
      <c r="I18" s="40" t="str">
        <f>IF(ISBLANK(pvs_eval!T22), "", IF(pvs_eval!T22 = "No extraneous information", 1, 0))</f>
        <v/>
      </c>
      <c r="J18" s="40" t="str">
        <f>IF(ISBLANK(pvs_eval!X22), "", IF(pvs_eval!X22 = "No flow issues", 1, 0))</f>
        <v/>
      </c>
    </row>
    <row r="19">
      <c r="A19" s="41"/>
      <c r="E19" s="40" t="str">
        <f>IF(ISBLANK(pvs_eval!I23), "", IF(pvs_eval!I23 = "No hallucination", 1, 0))</f>
        <v/>
      </c>
      <c r="F19" s="40" t="str">
        <f>IF(ISBLANK(pvs_eval!L23), "", IF(pvs_eval!L23 = "No clinical inference", 1, 0))</f>
        <v/>
      </c>
      <c r="G19" s="40" t="str">
        <f>IF(ISBLANK(pvs_eval!M23), "", IF(pvs_eval!M23 = "Unsafe, Non-Deducible Inference", 0, 1))</f>
        <v/>
      </c>
      <c r="H19" s="40" t="str">
        <f>IF(ISBLANK(pvs_eval!P23), "", IF(pvs_eval!P23 = "No omission", 1, 0))</f>
        <v/>
      </c>
      <c r="I19" s="40" t="str">
        <f>IF(ISBLANK(pvs_eval!T23), "", IF(pvs_eval!T23 = "No extraneous information", 1, 0))</f>
        <v/>
      </c>
      <c r="J19" s="40" t="str">
        <f>IF(ISBLANK(pvs_eval!X23), "", IF(pvs_eval!X23 = "No flow issues", 1, 0))</f>
        <v/>
      </c>
    </row>
    <row r="20">
      <c r="A20" s="41"/>
      <c r="E20" s="40" t="str">
        <f>IF(ISBLANK(pvs_eval!I25), "", IF(pvs_eval!I25 = "No hallucination", 1, 0))</f>
        <v/>
      </c>
      <c r="F20" s="40" t="str">
        <f>IF(ISBLANK(pvs_eval!L25), "", IF(pvs_eval!L25 = "No clinical inference", 1, 0))</f>
        <v/>
      </c>
      <c r="G20" s="40" t="str">
        <f>IF(ISBLANK(pvs_eval!M25), "", IF(pvs_eval!M25 = "Unsafe, Non-Deducible Inference", 0, 1))</f>
        <v/>
      </c>
      <c r="H20" s="40" t="str">
        <f>IF(ISBLANK(pvs_eval!P25), "", IF(pvs_eval!P25 = "No omission", 1, 0))</f>
        <v/>
      </c>
      <c r="I20" s="40" t="str">
        <f>IF(ISBLANK(pvs_eval!T25), "", IF(pvs_eval!T25 = "No extraneous information", 1, 0))</f>
        <v/>
      </c>
      <c r="J20" s="40" t="str">
        <f>IF(ISBLANK(pvs_eval!X25), "", IF(pvs_eval!X25 = "No flow issues", 1, 0))</f>
        <v/>
      </c>
    </row>
    <row r="21">
      <c r="A21" s="43"/>
      <c r="E21" s="40" t="str">
        <f>IF(ISBLANK(pvs_eval!I26), "", IF(pvs_eval!I26 = "No hallucination", 1, 0))</f>
        <v/>
      </c>
      <c r="F21" s="40" t="str">
        <f>IF(ISBLANK(pvs_eval!L26), "", IF(pvs_eval!L26 = "No clinical inference", 1, 0))</f>
        <v/>
      </c>
      <c r="G21" s="40" t="str">
        <f>IF(ISBLANK(pvs_eval!M26), "", IF(pvs_eval!M26 = "Unsafe, Non-Deducible Inference", 0, 1))</f>
        <v/>
      </c>
      <c r="H21" s="40" t="str">
        <f>IF(ISBLANK(pvs_eval!P26), "", IF(pvs_eval!P26 = "No omission", 1, 0))</f>
        <v/>
      </c>
      <c r="I21" s="40" t="str">
        <f>IF(ISBLANK(pvs_eval!T26), "", IF(pvs_eval!T26 = "No extraneous information", 1, 0))</f>
        <v/>
      </c>
      <c r="J21" s="40" t="str">
        <f>IF(ISBLANK(pvs_eval!X26), "", IF(pvs_eval!X26 = "No flow issues", 1, 0))</f>
        <v/>
      </c>
    </row>
    <row r="22">
      <c r="A22" s="43"/>
      <c r="E22" s="40" t="str">
        <f>IF(ISBLANK(pvs_eval!I27), "", IF(pvs_eval!I27 = "No hallucination", 1, 0))</f>
        <v/>
      </c>
      <c r="F22" s="40" t="str">
        <f>IF(ISBLANK(pvs_eval!L27), "", IF(pvs_eval!L27 = "No clinical inference", 1, 0))</f>
        <v/>
      </c>
      <c r="G22" s="40" t="str">
        <f>IF(ISBLANK(pvs_eval!M27), "", IF(pvs_eval!M27 = "Unsafe, Non-Deducible Inference", 0, 1))</f>
        <v/>
      </c>
      <c r="H22" s="40" t="str">
        <f>IF(ISBLANK(pvs_eval!P27), "", IF(pvs_eval!P27 = "No omission", 1, 0))</f>
        <v/>
      </c>
      <c r="I22" s="40" t="str">
        <f>IF(ISBLANK(pvs_eval!T27), "", IF(pvs_eval!T27 = "No extraneous information", 1, 0))</f>
        <v/>
      </c>
      <c r="J22" s="40" t="str">
        <f>IF(ISBLANK(pvs_eval!X27), "", IF(pvs_eval!X27 = "No flow issues", 1, 0))</f>
        <v/>
      </c>
    </row>
    <row r="23">
      <c r="A23" s="43"/>
      <c r="E23" s="40" t="str">
        <f>IF(ISBLANK(pvs_eval!I28), "", IF(pvs_eval!I28 = "No hallucination", 1, 0))</f>
        <v/>
      </c>
      <c r="F23" s="40" t="str">
        <f>IF(ISBLANK(pvs_eval!L28), "", IF(pvs_eval!L28 = "No clinical inference", 1, 0))</f>
        <v/>
      </c>
      <c r="G23" s="40" t="str">
        <f>IF(ISBLANK(pvs_eval!M28), "", IF(pvs_eval!M28 = "Unsafe, Non-Deducible Inference", 0, 1))</f>
        <v/>
      </c>
      <c r="H23" s="40" t="str">
        <f>IF(ISBLANK(pvs_eval!P28), "", IF(pvs_eval!P28 = "No omission", 1, 0))</f>
        <v/>
      </c>
      <c r="I23" s="40" t="str">
        <f>IF(ISBLANK(pvs_eval!T28), "", IF(pvs_eval!T28 = "No extraneous information", 1, 0))</f>
        <v/>
      </c>
      <c r="J23" s="40" t="str">
        <f>IF(ISBLANK(pvs_eval!X28), "", IF(pvs_eval!X28 = "No flow issues", 1, 0))</f>
        <v/>
      </c>
    </row>
    <row r="24">
      <c r="A24" s="43"/>
      <c r="E24" s="40" t="str">
        <f>IF(ISBLANK(pvs_eval!I30), "", IF(pvs_eval!I30 = "No hallucination", 1, 0))</f>
        <v/>
      </c>
      <c r="F24" s="40" t="str">
        <f>IF(ISBLANK(pvs_eval!L30), "", IF(pvs_eval!L30 = "No clinical inference", 1, 0))</f>
        <v/>
      </c>
      <c r="G24" s="40" t="str">
        <f>IF(ISBLANK(pvs_eval!M30), "", IF(pvs_eval!M30 = "Unsafe, Non-Deducible Inference", 0, 1))</f>
        <v/>
      </c>
      <c r="H24" s="40" t="str">
        <f>IF(ISBLANK(pvs_eval!P30), "", IF(pvs_eval!P30 = "No omission", 1, 0))</f>
        <v/>
      </c>
      <c r="I24" s="40" t="str">
        <f>IF(ISBLANK(pvs_eval!T30), "", IF(pvs_eval!T30 = "No extraneous information", 1, 0))</f>
        <v/>
      </c>
      <c r="J24" s="40" t="str">
        <f>IF(ISBLANK(pvs_eval!X30), "", IF(pvs_eval!X30 = "No flow issues", 1, 0))</f>
        <v/>
      </c>
    </row>
    <row r="25">
      <c r="A25" s="41"/>
      <c r="E25" s="40" t="str">
        <f>IF(ISBLANK(pvs_eval!I31), "", IF(pvs_eval!I31 = "No hallucination", 1, 0))</f>
        <v/>
      </c>
      <c r="F25" s="40" t="str">
        <f>IF(ISBLANK(pvs_eval!L31), "", IF(pvs_eval!L31 = "No clinical inference", 1, 0))</f>
        <v/>
      </c>
      <c r="G25" s="40" t="str">
        <f>IF(ISBLANK(pvs_eval!M31), "", IF(pvs_eval!M31 = "Unsafe, Non-Deducible Inference", 0, 1))</f>
        <v/>
      </c>
      <c r="H25" s="40" t="str">
        <f>IF(ISBLANK(pvs_eval!P31), "", IF(pvs_eval!P31 = "No omission", 1, 0))</f>
        <v/>
      </c>
      <c r="I25" s="40" t="str">
        <f>IF(ISBLANK(pvs_eval!T31), "", IF(pvs_eval!T31 = "No extraneous information", 1, 0))</f>
        <v/>
      </c>
      <c r="J25" s="40" t="str">
        <f>IF(ISBLANK(pvs_eval!X31), "", IF(pvs_eval!X31 = "No flow issues", 1, 0))</f>
        <v/>
      </c>
    </row>
    <row r="26">
      <c r="A26" s="43"/>
      <c r="E26" s="40" t="str">
        <f>IF(ISBLANK(pvs_eval!I32), "", IF(pvs_eval!I32 = "No hallucination", 1, 0))</f>
        <v/>
      </c>
      <c r="F26" s="40" t="str">
        <f>IF(ISBLANK(pvs_eval!L32), "", IF(pvs_eval!L32 = "No clinical inference", 1, 0))</f>
        <v/>
      </c>
      <c r="G26" s="40" t="str">
        <f>IF(ISBLANK(pvs_eval!M32), "", IF(pvs_eval!M32 = "Unsafe, Non-Deducible Inference", 0, 1))</f>
        <v/>
      </c>
      <c r="H26" s="40" t="str">
        <f>IF(ISBLANK(pvs_eval!P32), "", IF(pvs_eval!P32 = "No omission", 1, 0))</f>
        <v/>
      </c>
      <c r="I26" s="40" t="str">
        <f>IF(ISBLANK(pvs_eval!T32), "", IF(pvs_eval!T32 = "No extraneous information", 1, 0))</f>
        <v/>
      </c>
      <c r="J26" s="40" t="str">
        <f>IF(ISBLANK(pvs_eval!X32), "", IF(pvs_eval!X32 = "No flow issues", 1, 0))</f>
        <v/>
      </c>
    </row>
    <row r="27">
      <c r="A27" s="43"/>
      <c r="E27" s="40" t="str">
        <f>IF(ISBLANK(pvs_eval!I33), "", IF(pvs_eval!I33 = "No hallucination", 1, 0))</f>
        <v/>
      </c>
      <c r="F27" s="40" t="str">
        <f>IF(ISBLANK(pvs_eval!L33), "", IF(pvs_eval!L33 = "No clinical inference", 1, 0))</f>
        <v/>
      </c>
      <c r="G27" s="40" t="str">
        <f>IF(ISBLANK(pvs_eval!M33), "", IF(pvs_eval!M33 = "Unsafe, Non-Deducible Inference", 0, 1))</f>
        <v/>
      </c>
      <c r="H27" s="40" t="str">
        <f>IF(ISBLANK(pvs_eval!P33), "", IF(pvs_eval!P33 = "No omission", 1, 0))</f>
        <v/>
      </c>
      <c r="I27" s="40" t="str">
        <f>IF(ISBLANK(pvs_eval!T33), "", IF(pvs_eval!T33 = "No extraneous information", 1, 0))</f>
        <v/>
      </c>
      <c r="J27" s="40" t="str">
        <f>IF(ISBLANK(pvs_eval!X33), "", IF(pvs_eval!X33 = "No flow issues", 1, 0))</f>
        <v/>
      </c>
    </row>
    <row r="28">
      <c r="A28" s="41"/>
      <c r="E28" s="40" t="str">
        <f>IF(ISBLANK(pvs_eval!I35), "", IF(pvs_eval!I35 = "No hallucination", 1, 0))</f>
        <v/>
      </c>
      <c r="F28" s="40" t="str">
        <f>IF(ISBLANK(pvs_eval!L35), "", IF(pvs_eval!L35 = "No clinical inference", 1, 0))</f>
        <v/>
      </c>
      <c r="G28" s="40" t="str">
        <f>IF(ISBLANK(pvs_eval!M35), "", IF(pvs_eval!M35 = "Unsafe, Non-Deducible Inference", 0, 1))</f>
        <v/>
      </c>
      <c r="H28" s="40" t="str">
        <f>IF(ISBLANK(pvs_eval!P35), "", IF(pvs_eval!P35 = "No omission", 1, 0))</f>
        <v/>
      </c>
      <c r="I28" s="40" t="str">
        <f>IF(ISBLANK(pvs_eval!T35), "", IF(pvs_eval!T35 = "No extraneous information", 1, 0))</f>
        <v/>
      </c>
      <c r="J28" s="40" t="str">
        <f>IF(ISBLANK(pvs_eval!X35), "", IF(pvs_eval!X35 = "No flow issues", 1, 0))</f>
        <v/>
      </c>
    </row>
    <row r="29">
      <c r="A29" s="41"/>
      <c r="E29" s="40" t="str">
        <f>IF(ISBLANK(pvs_eval!I36), "", IF(pvs_eval!I36 = "No hallucination", 1, 0))</f>
        <v/>
      </c>
      <c r="F29" s="40" t="str">
        <f>IF(ISBLANK(pvs_eval!L36), "", IF(pvs_eval!L36 = "No clinical inference", 1, 0))</f>
        <v/>
      </c>
      <c r="G29" s="40" t="str">
        <f>IF(ISBLANK(pvs_eval!M36), "", IF(pvs_eval!M36 = "Unsafe, Non-Deducible Inference", 0, 1))</f>
        <v/>
      </c>
      <c r="H29" s="40" t="str">
        <f>IF(ISBLANK(pvs_eval!P36), "", IF(pvs_eval!P36 = "No omission", 1, 0))</f>
        <v/>
      </c>
      <c r="I29" s="40" t="str">
        <f>IF(ISBLANK(pvs_eval!T36), "", IF(pvs_eval!T36 = "No extraneous information", 1, 0))</f>
        <v/>
      </c>
      <c r="J29" s="40" t="str">
        <f>IF(ISBLANK(pvs_eval!X36), "", IF(pvs_eval!X36 = "No flow issues", 1, 0))</f>
        <v/>
      </c>
    </row>
    <row r="30">
      <c r="A30" s="43"/>
      <c r="E30" s="40" t="str">
        <f>IF(ISBLANK(pvs_eval!I37), "", IF(pvs_eval!I37 = "No hallucination", 1, 0))</f>
        <v/>
      </c>
      <c r="F30" s="40" t="str">
        <f>IF(ISBLANK(pvs_eval!L37), "", IF(pvs_eval!L37 = "No clinical inference", 1, 0))</f>
        <v/>
      </c>
      <c r="G30" s="40" t="str">
        <f>IF(ISBLANK(pvs_eval!M37), "", IF(pvs_eval!M37 = "Unsafe, Non-Deducible Inference", 0, 1))</f>
        <v/>
      </c>
      <c r="H30" s="40" t="str">
        <f>IF(ISBLANK(pvs_eval!P37), "", IF(pvs_eval!P37 = "No omission", 1, 0))</f>
        <v/>
      </c>
      <c r="I30" s="40" t="str">
        <f>IF(ISBLANK(pvs_eval!T37), "", IF(pvs_eval!T37 = "No extraneous information", 1, 0))</f>
        <v/>
      </c>
      <c r="J30" s="40" t="str">
        <f>IF(ISBLANK(pvs_eval!X37), "", IF(pvs_eval!X37 = "No flow issues", 1, 0))</f>
        <v/>
      </c>
    </row>
    <row r="31">
      <c r="A31" s="43"/>
      <c r="E31" s="40" t="str">
        <f>IF(ISBLANK(pvs_eval!I38), "", IF(pvs_eval!I38 = "No hallucination", 1, 0))</f>
        <v/>
      </c>
      <c r="F31" s="40" t="str">
        <f>IF(ISBLANK(pvs_eval!L38), "", IF(pvs_eval!L38 = "No clinical inference", 1, 0))</f>
        <v/>
      </c>
      <c r="G31" s="40" t="str">
        <f>IF(ISBLANK(pvs_eval!M38), "", IF(pvs_eval!M38 = "Unsafe, Non-Deducible Inference", 0, 1))</f>
        <v/>
      </c>
      <c r="H31" s="40" t="str">
        <f>IF(ISBLANK(pvs_eval!P38), "", IF(pvs_eval!P38 = "No omission", 1, 0))</f>
        <v/>
      </c>
      <c r="I31" s="40" t="str">
        <f>IF(ISBLANK(pvs_eval!T38), "", IF(pvs_eval!T38 = "No extraneous information", 1, 0))</f>
        <v/>
      </c>
      <c r="J31" s="40" t="str">
        <f>IF(ISBLANK(pvs_eval!X38), "", IF(pvs_eval!X38 = "No flow issues", 1, 0))</f>
        <v/>
      </c>
    </row>
    <row r="32">
      <c r="A32" s="43"/>
      <c r="E32" s="40" t="str">
        <f>IF(ISBLANK(pvs_eval!I40), "", IF(pvs_eval!I40 = "No hallucination", 1, 0))</f>
        <v/>
      </c>
      <c r="F32" s="40" t="str">
        <f>IF(ISBLANK(pvs_eval!L40), "", IF(pvs_eval!L40 = "No clinical inference", 1, 0))</f>
        <v/>
      </c>
      <c r="G32" s="40" t="str">
        <f>IF(ISBLANK(pvs_eval!M40), "", IF(pvs_eval!M40 = "Unsafe, Non-Deducible Inference", 0, 1))</f>
        <v/>
      </c>
      <c r="H32" s="40" t="str">
        <f>IF(ISBLANK(pvs_eval!P40), "", IF(pvs_eval!P40 = "No omission", 1, 0))</f>
        <v/>
      </c>
      <c r="I32" s="40" t="str">
        <f>IF(ISBLANK(pvs_eval!T40), "", IF(pvs_eval!T40 = "No extraneous information", 1, 0))</f>
        <v/>
      </c>
      <c r="J32" s="40" t="str">
        <f>IF(ISBLANK(pvs_eval!X40), "", IF(pvs_eval!X40 = "No flow issues", 1, 0))</f>
        <v/>
      </c>
    </row>
    <row r="33">
      <c r="A33" s="43"/>
      <c r="E33" s="40" t="str">
        <f>IF(ISBLANK(pvs_eval!I41), "", IF(pvs_eval!I41 = "No hallucination", 1, 0))</f>
        <v/>
      </c>
      <c r="F33" s="40" t="str">
        <f>IF(ISBLANK(pvs_eval!L41), "", IF(pvs_eval!L41 = "No clinical inference", 1, 0))</f>
        <v/>
      </c>
      <c r="G33" s="40" t="str">
        <f>IF(ISBLANK(pvs_eval!M41), "", IF(pvs_eval!M41 = "Unsafe, Non-Deducible Inference", 0, 1))</f>
        <v/>
      </c>
      <c r="H33" s="40" t="str">
        <f>IF(ISBLANK(pvs_eval!P41), "", IF(pvs_eval!P41 = "No omission", 1, 0))</f>
        <v/>
      </c>
      <c r="I33" s="40" t="str">
        <f>IF(ISBLANK(pvs_eval!T41), "", IF(pvs_eval!T41 = "No extraneous information", 1, 0))</f>
        <v/>
      </c>
      <c r="J33" s="40" t="str">
        <f>IF(ISBLANK(pvs_eval!X41), "", IF(pvs_eval!X41 = "No flow issues", 1, 0))</f>
        <v/>
      </c>
    </row>
    <row r="34">
      <c r="A34" s="43"/>
      <c r="E34" s="40" t="str">
        <f>IF(ISBLANK(pvs_eval!I42), "", IF(pvs_eval!I42 = "No hallucination", 1, 0))</f>
        <v/>
      </c>
      <c r="F34" s="40" t="str">
        <f>IF(ISBLANK(pvs_eval!L42), "", IF(pvs_eval!L42 = "No clinical inference", 1, 0))</f>
        <v/>
      </c>
      <c r="G34" s="40" t="str">
        <f>IF(ISBLANK(pvs_eval!M42), "", IF(pvs_eval!M42 = "Unsafe, Non-Deducible Inference", 0, 1))</f>
        <v/>
      </c>
      <c r="H34" s="40" t="str">
        <f>IF(ISBLANK(pvs_eval!P42), "", IF(pvs_eval!P42 = "No omission", 1, 0))</f>
        <v/>
      </c>
      <c r="I34" s="40" t="str">
        <f>IF(ISBLANK(pvs_eval!T42), "", IF(pvs_eval!T42 = "No extraneous information", 1, 0))</f>
        <v/>
      </c>
      <c r="J34" s="40" t="str">
        <f>IF(ISBLANK(pvs_eval!X42), "", IF(pvs_eval!X42 = "No flow issues", 1, 0))</f>
        <v/>
      </c>
    </row>
    <row r="35">
      <c r="A35" s="43"/>
      <c r="E35" s="40" t="str">
        <f>IF(ISBLANK(pvs_eval!I43), "", IF(pvs_eval!I43 = "No hallucination", 1, 0))</f>
        <v/>
      </c>
      <c r="F35" s="40" t="str">
        <f>IF(ISBLANK(pvs_eval!L43), "", IF(pvs_eval!L43 = "No clinical inference", 1, 0))</f>
        <v/>
      </c>
      <c r="G35" s="40" t="str">
        <f>IF(ISBLANK(pvs_eval!M43), "", IF(pvs_eval!M43 = "Unsafe, Non-Deducible Inference", 0, 1))</f>
        <v/>
      </c>
      <c r="H35" s="40" t="str">
        <f>IF(ISBLANK(pvs_eval!P43), "", IF(pvs_eval!P43 = "No omission", 1, 0))</f>
        <v/>
      </c>
      <c r="I35" s="40" t="str">
        <f>IF(ISBLANK(pvs_eval!T43), "", IF(pvs_eval!T43 = "No extraneous information", 1, 0))</f>
        <v/>
      </c>
      <c r="J35" s="40" t="str">
        <f>IF(ISBLANK(pvs_eval!X43), "", IF(pvs_eval!X43 = "No flow issues", 1, 0))</f>
        <v/>
      </c>
    </row>
    <row r="36">
      <c r="A36" s="43"/>
      <c r="E36" s="40" t="str">
        <f>IF(ISBLANK(pvs_eval!I45), "", IF(pvs_eval!I45 = "No hallucination", 1, 0))</f>
        <v/>
      </c>
      <c r="F36" s="40" t="str">
        <f>IF(ISBLANK(pvs_eval!L45), "", IF(pvs_eval!L45 = "No clinical inference", 1, 0))</f>
        <v/>
      </c>
      <c r="G36" s="40" t="str">
        <f>IF(ISBLANK(pvs_eval!M45), "", IF(pvs_eval!M45 = "Unsafe, Non-Deducible Inference", 0, 1))</f>
        <v/>
      </c>
      <c r="H36" s="40" t="str">
        <f>IF(ISBLANK(pvs_eval!P45), "", IF(pvs_eval!P45 = "No omission", 1, 0))</f>
        <v/>
      </c>
      <c r="I36" s="40" t="str">
        <f>IF(ISBLANK(pvs_eval!T45), "", IF(pvs_eval!T45 = "No extraneous information", 1, 0))</f>
        <v/>
      </c>
      <c r="J36" s="40" t="str">
        <f>IF(ISBLANK(pvs_eval!X45), "", IF(pvs_eval!X45 = "No flow issues", 1, 0))</f>
        <v/>
      </c>
    </row>
    <row r="37">
      <c r="A37" s="43"/>
      <c r="E37" s="40" t="str">
        <f>IF(ISBLANK(pvs_eval!I46), "", IF(pvs_eval!I46 = "No hallucination", 1, 0))</f>
        <v/>
      </c>
      <c r="F37" s="40" t="str">
        <f>IF(ISBLANK(pvs_eval!L46), "", IF(pvs_eval!L46 = "No clinical inference", 1, 0))</f>
        <v/>
      </c>
      <c r="G37" s="40" t="str">
        <f>IF(ISBLANK(pvs_eval!M46), "", IF(pvs_eval!M46 = "Unsafe, Non-Deducible Inference", 0, 1))</f>
        <v/>
      </c>
      <c r="H37" s="40" t="str">
        <f>IF(ISBLANK(pvs_eval!P46), "", IF(pvs_eval!P46 = "No omission", 1, 0))</f>
        <v/>
      </c>
      <c r="I37" s="40" t="str">
        <f>IF(ISBLANK(pvs_eval!T46), "", IF(pvs_eval!T46 = "No extraneous information", 1, 0))</f>
        <v/>
      </c>
      <c r="J37" s="40" t="str">
        <f>IF(ISBLANK(pvs_eval!X46), "", IF(pvs_eval!X46 = "No flow issues", 1, 0))</f>
        <v/>
      </c>
    </row>
    <row r="38">
      <c r="A38" s="43"/>
      <c r="E38" s="40" t="str">
        <f>IF(ISBLANK(pvs_eval!I47), "", IF(pvs_eval!I47 = "No hallucination", 1, 0))</f>
        <v/>
      </c>
      <c r="F38" s="40" t="str">
        <f>IF(ISBLANK(pvs_eval!L47), "", IF(pvs_eval!L47 = "No clinical inference", 1, 0))</f>
        <v/>
      </c>
      <c r="G38" s="40" t="str">
        <f>IF(ISBLANK(pvs_eval!M47), "", IF(pvs_eval!M47 = "Unsafe, Non-Deducible Inference", 0, 1))</f>
        <v/>
      </c>
      <c r="H38" s="40" t="str">
        <f>IF(ISBLANK(pvs_eval!P47), "", IF(pvs_eval!P47 = "No omission", 1, 0))</f>
        <v/>
      </c>
      <c r="I38" s="40" t="str">
        <f>IF(ISBLANK(pvs_eval!T47), "", IF(pvs_eval!T47 = "No extraneous information", 1, 0))</f>
        <v/>
      </c>
      <c r="J38" s="40" t="str">
        <f>IF(ISBLANK(pvs_eval!X47), "", IF(pvs_eval!X47 = "No flow issues", 1, 0))</f>
        <v/>
      </c>
    </row>
    <row r="39">
      <c r="A39" s="43"/>
      <c r="E39" s="40" t="str">
        <f>IF(ISBLANK(pvs_eval!I48), "", IF(pvs_eval!I48 = "No hallucination", 1, 0))</f>
        <v/>
      </c>
      <c r="F39" s="40" t="str">
        <f>IF(ISBLANK(pvs_eval!L48), "", IF(pvs_eval!L48 = "No clinical inference", 1, 0))</f>
        <v/>
      </c>
      <c r="G39" s="40" t="str">
        <f>IF(ISBLANK(pvs_eval!M48), "", IF(pvs_eval!M48 = "Unsafe, Non-Deducible Inference", 0, 1))</f>
        <v/>
      </c>
      <c r="H39" s="40" t="str">
        <f>IF(ISBLANK(pvs_eval!P48), "", IF(pvs_eval!P48 = "No omission", 1, 0))</f>
        <v/>
      </c>
      <c r="I39" s="40" t="str">
        <f>IF(ISBLANK(pvs_eval!T48), "", IF(pvs_eval!T48 = "No extraneous information", 1, 0))</f>
        <v/>
      </c>
      <c r="J39" s="40" t="str">
        <f>IF(ISBLANK(pvs_eval!X48), "", IF(pvs_eval!X48 = "No flow issues", 1, 0))</f>
        <v/>
      </c>
    </row>
    <row r="40">
      <c r="A40" s="43"/>
      <c r="E40" s="40" t="str">
        <f>IF(ISBLANK(pvs_eval!I50), "", IF(pvs_eval!I50 = "No hallucination", 1, 0))</f>
        <v/>
      </c>
      <c r="F40" s="40" t="str">
        <f>IF(ISBLANK(pvs_eval!L50), "", IF(pvs_eval!L50 = "No clinical inference", 1, 0))</f>
        <v/>
      </c>
      <c r="G40" s="40" t="str">
        <f>IF(ISBLANK(pvs_eval!M50), "", IF(pvs_eval!M50 = "Unsafe, Non-Deducible Inference", 0, 1))</f>
        <v/>
      </c>
      <c r="H40" s="40" t="str">
        <f>IF(ISBLANK(pvs_eval!P50), "", IF(pvs_eval!P50 = "No omission", 1, 0))</f>
        <v/>
      </c>
      <c r="I40" s="40" t="str">
        <f>IF(ISBLANK(pvs_eval!T50), "", IF(pvs_eval!T50 = "No extraneous information", 1, 0))</f>
        <v/>
      </c>
      <c r="J40" s="40" t="str">
        <f>IF(ISBLANK(pvs_eval!X50), "", IF(pvs_eval!X50 = "No flow issues", 1, 0))</f>
        <v/>
      </c>
    </row>
    <row r="41">
      <c r="A41" s="43"/>
      <c r="E41" s="40" t="str">
        <f>IF(ISBLANK(pvs_eval!I51), "", IF(pvs_eval!I51 = "No hallucination", 1, 0))</f>
        <v/>
      </c>
      <c r="F41" s="40" t="str">
        <f>IF(ISBLANK(pvs_eval!L51), "", IF(pvs_eval!L51 = "No clinical inference", 1, 0))</f>
        <v/>
      </c>
      <c r="G41" s="40" t="str">
        <f>IF(ISBLANK(pvs_eval!M51), "", IF(pvs_eval!M51 = "Unsafe, Non-Deducible Inference", 0, 1))</f>
        <v/>
      </c>
      <c r="H41" s="40" t="str">
        <f>IF(ISBLANK(pvs_eval!P51), "", IF(pvs_eval!P51 = "No omission", 1, 0))</f>
        <v/>
      </c>
      <c r="I41" s="40" t="str">
        <f>IF(ISBLANK(pvs_eval!T51), "", IF(pvs_eval!T51 = "No extraneous information", 1, 0))</f>
        <v/>
      </c>
      <c r="J41" s="40" t="str">
        <f>IF(ISBLANK(pvs_eval!X51), "", IF(pvs_eval!X51 = "No flow issues", 1, 0))</f>
        <v/>
      </c>
    </row>
    <row r="42">
      <c r="A42" s="43"/>
      <c r="E42" s="40" t="str">
        <f>IF(ISBLANK(pvs_eval!I102), "", IF(pvs_eval!I102 = "No hallucination", 1, 0))</f>
        <v/>
      </c>
      <c r="F42" s="40" t="str">
        <f>IF(ISBLANK(pvs_eval!L102), "", IF(pvs_eval!L102 = "No clinical inference", 1, 0))</f>
        <v/>
      </c>
      <c r="G42" s="40" t="str">
        <f>IF(ISBLANK(pvs_eval!M102), "", IF(pvs_eval!M102 = "Unsafe, Non-Deducible Inference", 0, 1))</f>
        <v/>
      </c>
      <c r="H42" s="40" t="str">
        <f>IF(ISBLANK(pvs_eval!P102), "", IF(pvs_eval!P102 = "No omission", 1, 0))</f>
        <v/>
      </c>
      <c r="I42" s="40" t="str">
        <f>IF(ISBLANK(pvs_eval!T102), "", IF(pvs_eval!T102 = "No extraneous information", 1, 0))</f>
        <v/>
      </c>
      <c r="J42" s="40" t="str">
        <f>IF(ISBLANK(pvs_eval!X102), "", IF(pvs_eval!X102 = "No flow issues", 1, 0))</f>
        <v/>
      </c>
    </row>
    <row r="43">
      <c r="A43" s="43"/>
      <c r="E43" s="40" t="str">
        <f>IF(ISBLANK(pvs_eval!I103), "", IF(pvs_eval!I103 = "No hallucination", 1, 0))</f>
        <v/>
      </c>
      <c r="F43" s="40" t="str">
        <f>IF(ISBLANK(pvs_eval!L103), "", IF(pvs_eval!L103 = "No clinical inference", 1, 0))</f>
        <v/>
      </c>
      <c r="G43" s="40" t="str">
        <f>IF(ISBLANK(pvs_eval!M103), "", IF(pvs_eval!M103 = "Unsafe, Non-Deducible Inference", 0, 1))</f>
        <v/>
      </c>
      <c r="H43" s="40" t="str">
        <f>IF(ISBLANK(pvs_eval!P103), "", IF(pvs_eval!P103 = "No omission", 1, 0))</f>
        <v/>
      </c>
      <c r="I43" s="40" t="str">
        <f>IF(ISBLANK(pvs_eval!T103), "", IF(pvs_eval!T103 = "No extraneous information", 1, 0))</f>
        <v/>
      </c>
      <c r="J43" s="40" t="str">
        <f>IF(ISBLANK(pvs_eval!X103), "", IF(pvs_eval!X103 = "No flow issues", 1, 0))</f>
        <v/>
      </c>
    </row>
    <row r="44">
      <c r="A44" s="43"/>
      <c r="E44" s="40" t="str">
        <f>IF(ISBLANK(pvs_eval!I104), "", IF(pvs_eval!I104 = "No hallucination", 1, 0))</f>
        <v/>
      </c>
      <c r="F44" s="40" t="str">
        <f>IF(ISBLANK(pvs_eval!L104), "", IF(pvs_eval!L104 = "No clinical inference", 1, 0))</f>
        <v/>
      </c>
      <c r="G44" s="40" t="str">
        <f>IF(ISBLANK(pvs_eval!M104), "", IF(pvs_eval!M104 = "Unsafe, Non-Deducible Inference", 0, 1))</f>
        <v/>
      </c>
      <c r="H44" s="40" t="str">
        <f>IF(ISBLANK(pvs_eval!P104), "", IF(pvs_eval!P104 = "No omission", 1, 0))</f>
        <v/>
      </c>
      <c r="I44" s="40" t="str">
        <f>IF(ISBLANK(pvs_eval!T104), "", IF(pvs_eval!T104 = "No extraneous information", 1, 0))</f>
        <v/>
      </c>
      <c r="J44" s="40" t="str">
        <f>IF(ISBLANK(pvs_eval!X104), "", IF(pvs_eval!X104 = "No flow issues", 1, 0))</f>
        <v/>
      </c>
    </row>
    <row r="45">
      <c r="A45" s="43"/>
      <c r="E45" s="40" t="str">
        <f>IF(ISBLANK(pvs_eval!I105), "", IF(pvs_eval!I105 = "No hallucination", 1, 0))</f>
        <v/>
      </c>
      <c r="F45" s="40" t="str">
        <f>IF(ISBLANK(pvs_eval!L105), "", IF(pvs_eval!L105 = "No clinical inference", 1, 0))</f>
        <v/>
      </c>
      <c r="G45" s="40" t="str">
        <f>IF(ISBLANK(pvs_eval!M105), "", IF(pvs_eval!M105 = "Unsafe, Non-Deducible Inference", 0, 1))</f>
        <v/>
      </c>
      <c r="H45" s="40" t="str">
        <f>IF(ISBLANK(pvs_eval!P105), "", IF(pvs_eval!P105 = "No omission", 1, 0))</f>
        <v/>
      </c>
      <c r="I45" s="40" t="str">
        <f>IF(ISBLANK(pvs_eval!T105), "", IF(pvs_eval!T105 = "No extraneous information", 1, 0))</f>
        <v/>
      </c>
      <c r="J45" s="40" t="str">
        <f>IF(ISBLANK(pvs_eval!X105), "", IF(pvs_eval!X105 = "No flow issues", 1, 0))</f>
        <v/>
      </c>
    </row>
    <row r="46">
      <c r="A46" s="43"/>
      <c r="E46" s="40" t="str">
        <f>IF(ISBLANK(pvs_eval!I106), "", IF(pvs_eval!I106 = "No hallucination", 1, 0))</f>
        <v/>
      </c>
      <c r="F46" s="40" t="str">
        <f>IF(ISBLANK(pvs_eval!L106), "", IF(pvs_eval!L106 = "No clinical inference", 1, 0))</f>
        <v/>
      </c>
      <c r="G46" s="40" t="str">
        <f>IF(ISBLANK(pvs_eval!M106), "", IF(pvs_eval!M106 = "Unsafe, Non-Deducible Inference", 0, 1))</f>
        <v/>
      </c>
      <c r="H46" s="40" t="str">
        <f>IF(ISBLANK(pvs_eval!P106), "", IF(pvs_eval!P106 = "No omission", 1, 0))</f>
        <v/>
      </c>
      <c r="I46" s="40" t="str">
        <f>IF(ISBLANK(pvs_eval!T106), "", IF(pvs_eval!T106 = "No extraneous information", 1, 0))</f>
        <v/>
      </c>
      <c r="J46" s="40" t="str">
        <f>IF(ISBLANK(pvs_eval!X106), "", IF(pvs_eval!X106 = "No flow issues", 1, 0))</f>
        <v/>
      </c>
    </row>
    <row r="47">
      <c r="A47" s="43"/>
      <c r="E47" s="40" t="str">
        <f>IF(ISBLANK(pvs_eval!I107), "", IF(pvs_eval!I107 = "No hallucination", 1, 0))</f>
        <v/>
      </c>
      <c r="F47" s="40" t="str">
        <f>IF(ISBLANK(pvs_eval!L107), "", IF(pvs_eval!L107 = "No clinical inference", 1, 0))</f>
        <v/>
      </c>
      <c r="G47" s="40" t="str">
        <f>IF(ISBLANK(pvs_eval!M107), "", IF(pvs_eval!M107 = "Unsafe, Non-Deducible Inference", 0, 1))</f>
        <v/>
      </c>
      <c r="H47" s="40" t="str">
        <f>IF(ISBLANK(pvs_eval!P107), "", IF(pvs_eval!P107 = "No omission", 1, 0))</f>
        <v/>
      </c>
      <c r="I47" s="40" t="str">
        <f>IF(ISBLANK(pvs_eval!T107), "", IF(pvs_eval!T107 = "No extraneous information", 1, 0))</f>
        <v/>
      </c>
      <c r="J47" s="40" t="str">
        <f>IF(ISBLANK(pvs_eval!X107), "", IF(pvs_eval!X107 = "No flow issues", 1, 0))</f>
        <v/>
      </c>
    </row>
    <row r="48">
      <c r="A48" s="43"/>
      <c r="E48" s="40" t="str">
        <f>IF(ISBLANK(pvs_eval!I108), "", IF(pvs_eval!I108 = "No hallucination", 1, 0))</f>
        <v/>
      </c>
      <c r="F48" s="40" t="str">
        <f>IF(ISBLANK(pvs_eval!L108), "", IF(pvs_eval!L108 = "No clinical inference", 1, 0))</f>
        <v/>
      </c>
      <c r="G48" s="40" t="str">
        <f>IF(ISBLANK(pvs_eval!M108), "", IF(pvs_eval!M108 = "Unsafe, Non-Deducible Inference", 0, 1))</f>
        <v/>
      </c>
      <c r="H48" s="40" t="str">
        <f>IF(ISBLANK(pvs_eval!P108), "", IF(pvs_eval!P108 = "No omission", 1, 0))</f>
        <v/>
      </c>
      <c r="I48" s="40" t="str">
        <f>IF(ISBLANK(pvs_eval!T108), "", IF(pvs_eval!T108 = "No extraneous information", 1, 0))</f>
        <v/>
      </c>
      <c r="J48" s="40" t="str">
        <f>IF(ISBLANK(pvs_eval!X108), "", IF(pvs_eval!X108 = "No flow issues", 1, 0))</f>
        <v/>
      </c>
    </row>
    <row r="49">
      <c r="A49" s="43"/>
      <c r="E49" s="40" t="str">
        <f>IF(ISBLANK(pvs_eval!I109), "", IF(pvs_eval!I109 = "No hallucination", 1, 0))</f>
        <v/>
      </c>
      <c r="F49" s="40" t="str">
        <f>IF(ISBLANK(pvs_eval!L109), "", IF(pvs_eval!L109 = "No clinical inference", 1, 0))</f>
        <v/>
      </c>
      <c r="G49" s="40" t="str">
        <f>IF(ISBLANK(pvs_eval!M109), "", IF(pvs_eval!M109 = "Unsafe, Non-Deducible Inference", 0, 1))</f>
        <v/>
      </c>
      <c r="H49" s="40" t="str">
        <f>IF(ISBLANK(pvs_eval!P109), "", IF(pvs_eval!P109 = "No omission", 1, 0))</f>
        <v/>
      </c>
      <c r="I49" s="40" t="str">
        <f>IF(ISBLANK(pvs_eval!T109), "", IF(pvs_eval!T109 = "No extraneous information", 1, 0))</f>
        <v/>
      </c>
      <c r="J49" s="40" t="str">
        <f>IF(ISBLANK(pvs_eval!X109), "", IF(pvs_eval!X109 = "No flow issues", 1, 0))</f>
        <v/>
      </c>
    </row>
    <row r="50">
      <c r="A50" s="43"/>
      <c r="E50" s="40" t="str">
        <f>IF(ISBLANK(pvs_eval!I110), "", IF(pvs_eval!I110 = "No hallucination", 1, 0))</f>
        <v/>
      </c>
      <c r="F50" s="40" t="str">
        <f>IF(ISBLANK(pvs_eval!L110), "", IF(pvs_eval!L110 = "No clinical inference", 1, 0))</f>
        <v/>
      </c>
      <c r="G50" s="40" t="str">
        <f>IF(ISBLANK(pvs_eval!M110), "", IF(pvs_eval!M110 = "Unsafe, Non-Deducible Inference", 0, 1))</f>
        <v/>
      </c>
      <c r="H50" s="40" t="str">
        <f>IF(ISBLANK(pvs_eval!P110), "", IF(pvs_eval!P110 = "No omission", 1, 0))</f>
        <v/>
      </c>
      <c r="I50" s="40" t="str">
        <f>IF(ISBLANK(pvs_eval!T110), "", IF(pvs_eval!T110 = "No extraneous information", 1, 0))</f>
        <v/>
      </c>
      <c r="J50" s="40" t="str">
        <f>IF(ISBLANK(pvs_eval!X110), "", IF(pvs_eval!X110 = "No flow issues", 1, 0))</f>
        <v/>
      </c>
    </row>
    <row r="51">
      <c r="A51" s="43"/>
      <c r="E51" s="40" t="str">
        <f>IF(ISBLANK(pvs_eval!I111), "", IF(pvs_eval!I111 = "No hallucination", 1, 0))</f>
        <v/>
      </c>
      <c r="F51" s="40" t="str">
        <f>IF(ISBLANK(pvs_eval!L111), "", IF(pvs_eval!L111 = "No clinical inference", 1, 0))</f>
        <v/>
      </c>
      <c r="G51" s="40" t="str">
        <f>IF(ISBLANK(pvs_eval!M111), "", IF(pvs_eval!M111 = "Unsafe, Non-Deducible Inference", 0, 1))</f>
        <v/>
      </c>
      <c r="H51" s="40" t="str">
        <f>IF(ISBLANK(pvs_eval!P111), "", IF(pvs_eval!P111 = "No omission", 1, 0))</f>
        <v/>
      </c>
      <c r="I51" s="40" t="str">
        <f>IF(ISBLANK(pvs_eval!T111), "", IF(pvs_eval!T111 = "No extraneous information", 1, 0))</f>
        <v/>
      </c>
      <c r="J51" s="40" t="str">
        <f>IF(ISBLANK(pvs_eval!X111), "", IF(pvs_eval!X111 = "No flow issues", 1, 0))</f>
        <v/>
      </c>
    </row>
    <row r="52">
      <c r="A52" s="43"/>
      <c r="E52" s="40" t="str">
        <f>IF(ISBLANK(pvs_eval!I112), "", IF(pvs_eval!I112 = "No hallucination", 1, 0))</f>
        <v/>
      </c>
      <c r="F52" s="40" t="str">
        <f>IF(ISBLANK(pvs_eval!L112), "", IF(pvs_eval!L112 = "No clinical inference", 1, 0))</f>
        <v/>
      </c>
      <c r="G52" s="40" t="str">
        <f>IF(ISBLANK(pvs_eval!M112), "", IF(pvs_eval!M112 = "Unsafe, Non-Deducible Inference", 0, 1))</f>
        <v/>
      </c>
      <c r="H52" s="40" t="str">
        <f>IF(ISBLANK(pvs_eval!P112), "", IF(pvs_eval!P112 = "No omission", 1, 0))</f>
        <v/>
      </c>
      <c r="I52" s="40" t="str">
        <f>IF(ISBLANK(pvs_eval!T112), "", IF(pvs_eval!T112 = "No extraneous information", 1, 0))</f>
        <v/>
      </c>
      <c r="J52" s="40" t="str">
        <f>IF(ISBLANK(pvs_eval!X112), "", IF(pvs_eval!X112 = "No flow issues", 1, 0))</f>
        <v/>
      </c>
    </row>
    <row r="53">
      <c r="A53" s="43"/>
      <c r="E53" s="40" t="str">
        <f>IF(ISBLANK(pvs_eval!I113), "", IF(pvs_eval!I113 = "No hallucination", 1, 0))</f>
        <v/>
      </c>
      <c r="F53" s="40" t="str">
        <f>IF(ISBLANK(pvs_eval!L113), "", IF(pvs_eval!L113 = "No clinical inference", 1, 0))</f>
        <v/>
      </c>
      <c r="G53" s="40" t="str">
        <f>IF(ISBLANK(pvs_eval!M113), "", IF(pvs_eval!M113 = "Unsafe, Non-Deducible Inference", 0, 1))</f>
        <v/>
      </c>
      <c r="H53" s="40" t="str">
        <f>IF(ISBLANK(pvs_eval!P113), "", IF(pvs_eval!P113 = "No omission", 1, 0))</f>
        <v/>
      </c>
      <c r="I53" s="40" t="str">
        <f>IF(ISBLANK(pvs_eval!T113), "", IF(pvs_eval!T113 = "No extraneous information", 1, 0))</f>
        <v/>
      </c>
      <c r="J53" s="40" t="str">
        <f>IF(ISBLANK(pvs_eval!X113), "", IF(pvs_eval!X113 = "No flow issues", 1, 0))</f>
        <v/>
      </c>
    </row>
    <row r="54">
      <c r="A54" s="43"/>
      <c r="E54" s="40" t="str">
        <f>IF(ISBLANK(pvs_eval!I114), "", IF(pvs_eval!I114 = "No hallucination", 1, 0))</f>
        <v/>
      </c>
      <c r="F54" s="40" t="str">
        <f>IF(ISBLANK(pvs_eval!L114), "", IF(pvs_eval!L114 = "No clinical inference", 1, 0))</f>
        <v/>
      </c>
      <c r="G54" s="40" t="str">
        <f>IF(ISBLANK(pvs_eval!M114), "", IF(pvs_eval!M114 = "Unsafe, Non-Deducible Inference", 0, 1))</f>
        <v/>
      </c>
      <c r="H54" s="40" t="str">
        <f>IF(ISBLANK(pvs_eval!P114), "", IF(pvs_eval!P114 = "No omission", 1, 0))</f>
        <v/>
      </c>
      <c r="I54" s="40" t="str">
        <f>IF(ISBLANK(pvs_eval!T114), "", IF(pvs_eval!T114 = "No extraneous information", 1, 0))</f>
        <v/>
      </c>
      <c r="J54" s="40" t="str">
        <f>IF(ISBLANK(pvs_eval!X114), "", IF(pvs_eval!X114 = "No flow issues", 1, 0))</f>
        <v/>
      </c>
    </row>
    <row r="55">
      <c r="A55" s="43"/>
      <c r="E55" s="40" t="str">
        <f>IF(ISBLANK(pvs_eval!I115), "", IF(pvs_eval!I115 = "No hallucination", 1, 0))</f>
        <v/>
      </c>
      <c r="F55" s="40" t="str">
        <f>IF(ISBLANK(pvs_eval!L115), "", IF(pvs_eval!L115 = "No clinical inference", 1, 0))</f>
        <v/>
      </c>
      <c r="G55" s="40" t="str">
        <f>IF(ISBLANK(pvs_eval!M115), "", IF(pvs_eval!M115 = "Unsafe, Non-Deducible Inference", 0, 1))</f>
        <v/>
      </c>
      <c r="H55" s="40" t="str">
        <f>IF(ISBLANK(pvs_eval!P115), "", IF(pvs_eval!P115 = "No omission", 1, 0))</f>
        <v/>
      </c>
      <c r="I55" s="40" t="str">
        <f>IF(ISBLANK(pvs_eval!T115), "", IF(pvs_eval!T115 = "No extraneous information", 1, 0))</f>
        <v/>
      </c>
      <c r="J55" s="40" t="str">
        <f>IF(ISBLANK(pvs_eval!X115), "", IF(pvs_eval!X115 = "No flow issues", 1, 0))</f>
        <v/>
      </c>
    </row>
    <row r="56">
      <c r="A56" s="43"/>
      <c r="E56" s="40" t="str">
        <f>IF(ISBLANK(pvs_eval!I116), "", IF(pvs_eval!I116 = "No hallucination", 1, 0))</f>
        <v/>
      </c>
      <c r="F56" s="40" t="str">
        <f>IF(ISBLANK(pvs_eval!L116), "", IF(pvs_eval!L116 = "No clinical inference", 1, 0))</f>
        <v/>
      </c>
      <c r="G56" s="40" t="str">
        <f>IF(ISBLANK(pvs_eval!M116), "", IF(pvs_eval!M116 = "Unsafe, Non-Deducible Inference", 0, 1))</f>
        <v/>
      </c>
      <c r="H56" s="40" t="str">
        <f>IF(ISBLANK(pvs_eval!P116), "", IF(pvs_eval!P116 = "No omission", 1, 0))</f>
        <v/>
      </c>
      <c r="I56" s="40" t="str">
        <f>IF(ISBLANK(pvs_eval!T116), "", IF(pvs_eval!T116 = "No extraneous information", 1, 0))</f>
        <v/>
      </c>
      <c r="J56" s="40" t="str">
        <f>IF(ISBLANK(pvs_eval!X116), "", IF(pvs_eval!X116 = "No flow issues", 1, 0))</f>
        <v/>
      </c>
    </row>
    <row r="57">
      <c r="A57" s="43"/>
      <c r="E57" s="40" t="str">
        <f>IF(ISBLANK(pvs_eval!I117), "", IF(pvs_eval!I117 = "No hallucination", 1, 0))</f>
        <v/>
      </c>
      <c r="F57" s="40" t="str">
        <f>IF(ISBLANK(pvs_eval!L117), "", IF(pvs_eval!L117 = "No clinical inference", 1, 0))</f>
        <v/>
      </c>
      <c r="G57" s="40" t="str">
        <f>IF(ISBLANK(pvs_eval!M117), "", IF(pvs_eval!M117 = "Unsafe, Non-Deducible Inference", 0, 1))</f>
        <v/>
      </c>
      <c r="H57" s="40" t="str">
        <f>IF(ISBLANK(pvs_eval!P117), "", IF(pvs_eval!P117 = "No omission", 1, 0))</f>
        <v/>
      </c>
      <c r="I57" s="40" t="str">
        <f>IF(ISBLANK(pvs_eval!T117), "", IF(pvs_eval!T117 = "No extraneous information", 1, 0))</f>
        <v/>
      </c>
      <c r="J57" s="40" t="str">
        <f>IF(ISBLANK(pvs_eval!X117), "", IF(pvs_eval!X117 = "No flow issues", 1, 0))</f>
        <v/>
      </c>
    </row>
    <row r="58">
      <c r="A58" s="43"/>
      <c r="E58" s="40" t="str">
        <f>IF(ISBLANK(pvs_eval!I118), "", IF(pvs_eval!I118 = "No hallucination", 1, 0))</f>
        <v/>
      </c>
      <c r="F58" s="40" t="str">
        <f>IF(ISBLANK(pvs_eval!L118), "", IF(pvs_eval!L118 = "No clinical inference", 1, 0))</f>
        <v/>
      </c>
      <c r="G58" s="40" t="str">
        <f>IF(ISBLANK(pvs_eval!M118), "", IF(pvs_eval!M118 = "Unsafe, Non-Deducible Inference", 0, 1))</f>
        <v/>
      </c>
      <c r="H58" s="40" t="str">
        <f>IF(ISBLANK(pvs_eval!P118), "", IF(pvs_eval!P118 = "No omission", 1, 0))</f>
        <v/>
      </c>
      <c r="I58" s="40" t="str">
        <f>IF(ISBLANK(pvs_eval!T118), "", IF(pvs_eval!T118 = "No extraneous information", 1, 0))</f>
        <v/>
      </c>
      <c r="J58" s="40" t="str">
        <f>IF(ISBLANK(pvs_eval!X118), "", IF(pvs_eval!X118 = "No flow issues", 1, 0))</f>
        <v/>
      </c>
    </row>
    <row r="59">
      <c r="A59" s="43"/>
      <c r="E59" s="40" t="str">
        <f>IF(ISBLANK(pvs_eval!I119), "", IF(pvs_eval!I119 = "No hallucination", 1, 0))</f>
        <v/>
      </c>
      <c r="F59" s="40" t="str">
        <f>IF(ISBLANK(pvs_eval!L119), "", IF(pvs_eval!L119 = "No clinical inference", 1, 0))</f>
        <v/>
      </c>
      <c r="G59" s="40" t="str">
        <f>IF(ISBLANK(pvs_eval!M119), "", IF(pvs_eval!M119 = "Unsafe, Non-Deducible Inference", 0, 1))</f>
        <v/>
      </c>
      <c r="H59" s="40" t="str">
        <f>IF(ISBLANK(pvs_eval!P119), "", IF(pvs_eval!P119 = "No omission", 1, 0))</f>
        <v/>
      </c>
      <c r="I59" s="40" t="str">
        <f>IF(ISBLANK(pvs_eval!T119), "", IF(pvs_eval!T119 = "No extraneous information", 1, 0))</f>
        <v/>
      </c>
      <c r="J59" s="40" t="str">
        <f>IF(ISBLANK(pvs_eval!X119), "", IF(pvs_eval!X119 = "No flow issues", 1, 0))</f>
        <v/>
      </c>
    </row>
    <row r="60">
      <c r="A60" s="43"/>
      <c r="E60" s="40" t="str">
        <f>IF(ISBLANK(pvs_eval!I120), "", IF(pvs_eval!I120 = "No hallucination", 1, 0))</f>
        <v/>
      </c>
      <c r="F60" s="40" t="str">
        <f>IF(ISBLANK(pvs_eval!L120), "", IF(pvs_eval!L120 = "No clinical inference", 1, 0))</f>
        <v/>
      </c>
      <c r="G60" s="40" t="str">
        <f>IF(ISBLANK(pvs_eval!M120), "", IF(pvs_eval!M120 = "Unsafe, Non-Deducible Inference", 0, 1))</f>
        <v/>
      </c>
      <c r="H60" s="40" t="str">
        <f>IF(ISBLANK(pvs_eval!P120), "", IF(pvs_eval!P120 = "No omission", 1, 0))</f>
        <v/>
      </c>
      <c r="I60" s="40" t="str">
        <f>IF(ISBLANK(pvs_eval!T120), "", IF(pvs_eval!T120 = "No extraneous information", 1, 0))</f>
        <v/>
      </c>
      <c r="J60" s="40" t="str">
        <f>IF(ISBLANK(pvs_eval!X120), "", IF(pvs_eval!X120 = "No flow issues", 1, 0))</f>
        <v/>
      </c>
    </row>
    <row r="61">
      <c r="A61" s="43"/>
      <c r="E61" s="40" t="str">
        <f>IF(ISBLANK(pvs_eval!I121), "", IF(pvs_eval!I121 = "No hallucination", 1, 0))</f>
        <v/>
      </c>
      <c r="F61" s="40" t="str">
        <f>IF(ISBLANK(pvs_eval!L121), "", IF(pvs_eval!L121 = "No clinical inference", 1, 0))</f>
        <v/>
      </c>
      <c r="G61" s="40" t="str">
        <f>IF(ISBLANK(pvs_eval!M121), "", IF(pvs_eval!M121 = "Unsafe, Non-Deducible Inference", 0, 1))</f>
        <v/>
      </c>
      <c r="H61" s="40" t="str">
        <f>IF(ISBLANK(pvs_eval!P121), "", IF(pvs_eval!P121 = "No omission", 1, 0))</f>
        <v/>
      </c>
      <c r="I61" s="40" t="str">
        <f>IF(ISBLANK(pvs_eval!T121), "", IF(pvs_eval!T121 = "No extraneous information", 1, 0))</f>
        <v/>
      </c>
      <c r="J61" s="40" t="str">
        <f>IF(ISBLANK(pvs_eval!X121), "", IF(pvs_eval!X121 = "No flow issues", 1, 0))</f>
        <v/>
      </c>
    </row>
    <row r="62">
      <c r="A62" s="43"/>
      <c r="E62" s="40" t="str">
        <f>IF(ISBLANK(pvs_eval!I122), "", IF(pvs_eval!I122 = "No hallucination", 1, 0))</f>
        <v/>
      </c>
      <c r="F62" s="40" t="str">
        <f>IF(ISBLANK(pvs_eval!L122), "", IF(pvs_eval!L122 = "No clinical inference", 1, 0))</f>
        <v/>
      </c>
      <c r="G62" s="40" t="str">
        <f>IF(ISBLANK(pvs_eval!M122), "", IF(pvs_eval!M122 = "Unsafe, Non-Deducible Inference", 0, 1))</f>
        <v/>
      </c>
      <c r="H62" s="40" t="str">
        <f>IF(ISBLANK(pvs_eval!P122), "", IF(pvs_eval!P122 = "No omission", 1, 0))</f>
        <v/>
      </c>
      <c r="I62" s="40" t="str">
        <f>IF(ISBLANK(pvs_eval!T122), "", IF(pvs_eval!T122 = "No extraneous information", 1, 0))</f>
        <v/>
      </c>
      <c r="J62" s="40" t="str">
        <f>IF(ISBLANK(pvs_eval!X122), "", IF(pvs_eval!X122 = "No flow issues", 1, 0))</f>
        <v/>
      </c>
    </row>
    <row r="63">
      <c r="A63" s="43"/>
      <c r="E63" s="40" t="str">
        <f>IF(ISBLANK(pvs_eval!I123), "", IF(pvs_eval!I123 = "No hallucination", 1, 0))</f>
        <v/>
      </c>
      <c r="F63" s="40" t="str">
        <f>IF(ISBLANK(pvs_eval!L123), "", IF(pvs_eval!L123 = "No clinical inference", 1, 0))</f>
        <v/>
      </c>
      <c r="G63" s="40" t="str">
        <f>IF(ISBLANK(pvs_eval!M123), "", IF(pvs_eval!M123 = "Unsafe, Non-Deducible Inference", 0, 1))</f>
        <v/>
      </c>
      <c r="H63" s="40" t="str">
        <f>IF(ISBLANK(pvs_eval!P123), "", IF(pvs_eval!P123 = "No omission", 1, 0))</f>
        <v/>
      </c>
      <c r="I63" s="40" t="str">
        <f>IF(ISBLANK(pvs_eval!T123), "", IF(pvs_eval!T123 = "No extraneous information", 1, 0))</f>
        <v/>
      </c>
      <c r="J63" s="40" t="str">
        <f>IF(ISBLANK(pvs_eval!X123), "", IF(pvs_eval!X123 = "No flow issues", 1, 0))</f>
        <v/>
      </c>
    </row>
    <row r="64">
      <c r="A64" s="43"/>
      <c r="E64" s="40" t="str">
        <f>IF(ISBLANK(pvs_eval!I124), "", IF(pvs_eval!I124 = "No hallucination", 1, 0))</f>
        <v/>
      </c>
      <c r="F64" s="40" t="str">
        <f>IF(ISBLANK(pvs_eval!L124), "", IF(pvs_eval!L124 = "No clinical inference", 1, 0))</f>
        <v/>
      </c>
      <c r="G64" s="40" t="str">
        <f>IF(ISBLANK(pvs_eval!M124), "", IF(pvs_eval!M124 = "Unsafe, Non-Deducible Inference", 0, 1))</f>
        <v/>
      </c>
      <c r="H64" s="40" t="str">
        <f>IF(ISBLANK(pvs_eval!P124), "", IF(pvs_eval!P124 = "No omission", 1, 0))</f>
        <v/>
      </c>
      <c r="I64" s="40" t="str">
        <f>IF(ISBLANK(pvs_eval!T124), "", IF(pvs_eval!T124 = "No extraneous information", 1, 0))</f>
        <v/>
      </c>
      <c r="J64" s="40" t="str">
        <f>IF(ISBLANK(pvs_eval!X124), "", IF(pvs_eval!X124 = "No flow issues", 1, 0))</f>
        <v/>
      </c>
    </row>
    <row r="65">
      <c r="A65" s="43"/>
      <c r="E65" s="40" t="str">
        <f>IF(ISBLANK(pvs_eval!I125), "", IF(pvs_eval!I125 = "No hallucination", 1, 0))</f>
        <v/>
      </c>
      <c r="F65" s="40" t="str">
        <f>IF(ISBLANK(pvs_eval!L125), "", IF(pvs_eval!L125 = "No clinical inference", 1, 0))</f>
        <v/>
      </c>
      <c r="G65" s="40" t="str">
        <f>IF(ISBLANK(pvs_eval!M125), "", IF(pvs_eval!M125 = "Unsafe, Non-Deducible Inference", 0, 1))</f>
        <v/>
      </c>
      <c r="H65" s="40" t="str">
        <f>IF(ISBLANK(pvs_eval!P125), "", IF(pvs_eval!P125 = "No omission", 1, 0))</f>
        <v/>
      </c>
      <c r="I65" s="40" t="str">
        <f>IF(ISBLANK(pvs_eval!T125), "", IF(pvs_eval!T125 = "No extraneous information", 1, 0))</f>
        <v/>
      </c>
      <c r="J65" s="40" t="str">
        <f>IF(ISBLANK(pvs_eval!X125), "", IF(pvs_eval!X125 = "No flow issues", 1, 0))</f>
        <v/>
      </c>
    </row>
    <row r="66">
      <c r="A66" s="43"/>
      <c r="E66" s="40" t="str">
        <f>IF(ISBLANK(pvs_eval!I126), "", IF(pvs_eval!I126 = "No hallucination", 1, 0))</f>
        <v/>
      </c>
      <c r="F66" s="40" t="str">
        <f>IF(ISBLANK(pvs_eval!L126), "", IF(pvs_eval!L126 = "No clinical inference", 1, 0))</f>
        <v/>
      </c>
      <c r="G66" s="40" t="str">
        <f>IF(ISBLANK(pvs_eval!M126), "", IF(pvs_eval!M126 = "Unsafe, Non-Deducible Inference", 0, 1))</f>
        <v/>
      </c>
      <c r="H66" s="40" t="str">
        <f>IF(ISBLANK(pvs_eval!P126), "", IF(pvs_eval!P126 = "No omission", 1, 0))</f>
        <v/>
      </c>
      <c r="I66" s="40" t="str">
        <f>IF(ISBLANK(pvs_eval!T126), "", IF(pvs_eval!T126 = "No extraneous information", 1, 0))</f>
        <v/>
      </c>
      <c r="J66" s="40" t="str">
        <f>IF(ISBLANK(pvs_eval!X126), "", IF(pvs_eval!X126 = "No flow issues", 1, 0))</f>
        <v/>
      </c>
    </row>
    <row r="67">
      <c r="A67" s="43"/>
      <c r="E67" s="40" t="str">
        <f>IF(ISBLANK(pvs_eval!I127), "", IF(pvs_eval!I127 = "No hallucination", 1, 0))</f>
        <v/>
      </c>
      <c r="F67" s="40" t="str">
        <f>IF(ISBLANK(pvs_eval!L127), "", IF(pvs_eval!L127 = "No clinical inference", 1, 0))</f>
        <v/>
      </c>
      <c r="G67" s="40" t="str">
        <f>IF(ISBLANK(pvs_eval!M127), "", IF(pvs_eval!M127 = "Unsafe, Non-Deducible Inference", 0, 1))</f>
        <v/>
      </c>
      <c r="H67" s="40" t="str">
        <f>IF(ISBLANK(pvs_eval!P127), "", IF(pvs_eval!P127 = "No omission", 1, 0))</f>
        <v/>
      </c>
      <c r="I67" s="40" t="str">
        <f>IF(ISBLANK(pvs_eval!T127), "", IF(pvs_eval!T127 = "No extraneous information", 1, 0))</f>
        <v/>
      </c>
      <c r="J67" s="40" t="str">
        <f>IF(ISBLANK(pvs_eval!X127), "", IF(pvs_eval!X127 = "No flow issues", 1, 0))</f>
        <v/>
      </c>
    </row>
    <row r="68">
      <c r="A68" s="43"/>
      <c r="E68" s="40" t="str">
        <f>IF(ISBLANK(pvs_eval!I128), "", IF(pvs_eval!I128 = "No hallucination", 1, 0))</f>
        <v/>
      </c>
      <c r="F68" s="40" t="str">
        <f>IF(ISBLANK(pvs_eval!L128), "", IF(pvs_eval!L128 = "No clinical inference", 1, 0))</f>
        <v/>
      </c>
      <c r="G68" s="40" t="str">
        <f>IF(ISBLANK(pvs_eval!M128), "", IF(pvs_eval!M128 = "Unsafe, Non-Deducible Inference", 0, 1))</f>
        <v/>
      </c>
      <c r="H68" s="40" t="str">
        <f>IF(ISBLANK(pvs_eval!P128), "", IF(pvs_eval!P128 = "No omission", 1, 0))</f>
        <v/>
      </c>
      <c r="I68" s="40" t="str">
        <f>IF(ISBLANK(pvs_eval!T128), "", IF(pvs_eval!T128 = "No extraneous information", 1, 0))</f>
        <v/>
      </c>
      <c r="J68" s="40" t="str">
        <f>IF(ISBLANK(pvs_eval!X128), "", IF(pvs_eval!X128 = "No flow issues", 1, 0))</f>
        <v/>
      </c>
    </row>
    <row r="69">
      <c r="A69" s="43"/>
      <c r="E69" s="40" t="str">
        <f>IF(ISBLANK(pvs_eval!I129), "", IF(pvs_eval!I129 = "No hallucination", 1, 0))</f>
        <v/>
      </c>
      <c r="F69" s="40" t="str">
        <f>IF(ISBLANK(pvs_eval!L129), "", IF(pvs_eval!L129 = "No clinical inference", 1, 0))</f>
        <v/>
      </c>
      <c r="G69" s="40" t="str">
        <f>IF(ISBLANK(pvs_eval!M129), "", IF(pvs_eval!M129 = "Unsafe, Non-Deducible Inference", 0, 1))</f>
        <v/>
      </c>
      <c r="H69" s="40" t="str">
        <f>IF(ISBLANK(pvs_eval!P129), "", IF(pvs_eval!P129 = "No omission", 1, 0))</f>
        <v/>
      </c>
      <c r="I69" s="40" t="str">
        <f>IF(ISBLANK(pvs_eval!T129), "", IF(pvs_eval!T129 = "No extraneous information", 1, 0))</f>
        <v/>
      </c>
      <c r="J69" s="40" t="str">
        <f>IF(ISBLANK(pvs_eval!X129), "", IF(pvs_eval!X129 = "No flow issues", 1, 0))</f>
        <v/>
      </c>
    </row>
    <row r="70">
      <c r="A70" s="43"/>
      <c r="E70" s="40" t="str">
        <f>IF(ISBLANK(pvs_eval!I130), "", IF(pvs_eval!I130 = "No hallucination", 1, 0))</f>
        <v/>
      </c>
      <c r="F70" s="40" t="str">
        <f>IF(ISBLANK(pvs_eval!L130), "", IF(pvs_eval!L130 = "No clinical inference", 1, 0))</f>
        <v/>
      </c>
      <c r="G70" s="40" t="str">
        <f>IF(ISBLANK(pvs_eval!M130), "", IF(pvs_eval!M130 = "Unsafe, Non-Deducible Inference", 0, 1))</f>
        <v/>
      </c>
      <c r="H70" s="40" t="str">
        <f>IF(ISBLANK(pvs_eval!P130), "", IF(pvs_eval!P130 = "No omission", 1, 0))</f>
        <v/>
      </c>
      <c r="I70" s="40" t="str">
        <f>IF(ISBLANK(pvs_eval!T130), "", IF(pvs_eval!T130 = "No extraneous information", 1, 0))</f>
        <v/>
      </c>
      <c r="J70" s="40" t="str">
        <f>IF(ISBLANK(pvs_eval!X130), "", IF(pvs_eval!X130 = "No flow issues", 1, 0))</f>
        <v/>
      </c>
    </row>
    <row r="71">
      <c r="A71" s="43"/>
      <c r="E71" s="40" t="str">
        <f>IF(ISBLANK(pvs_eval!I131), "", IF(pvs_eval!I131 = "No hallucination", 1, 0))</f>
        <v/>
      </c>
      <c r="F71" s="40" t="str">
        <f>IF(ISBLANK(pvs_eval!L131), "", IF(pvs_eval!L131 = "No clinical inference", 1, 0))</f>
        <v/>
      </c>
      <c r="G71" s="40" t="str">
        <f>IF(ISBLANK(pvs_eval!M131), "", IF(pvs_eval!M131 = "Unsafe, Non-Deducible Inference", 0, 1))</f>
        <v/>
      </c>
      <c r="H71" s="40" t="str">
        <f>IF(ISBLANK(pvs_eval!P131), "", IF(pvs_eval!P131 = "No omission", 1, 0))</f>
        <v/>
      </c>
      <c r="I71" s="40" t="str">
        <f>IF(ISBLANK(pvs_eval!T131), "", IF(pvs_eval!T131 = "No extraneous information", 1, 0))</f>
        <v/>
      </c>
      <c r="J71" s="40" t="str">
        <f>IF(ISBLANK(pvs_eval!X131), "", IF(pvs_eval!X131 = "No flow issues", 1, 0))</f>
        <v/>
      </c>
    </row>
    <row r="72">
      <c r="A72" s="43"/>
      <c r="E72" s="40" t="str">
        <f>IF(ISBLANK(pvs_eval!I132), "", IF(pvs_eval!I132 = "No hallucination", 1, 0))</f>
        <v/>
      </c>
      <c r="F72" s="40" t="str">
        <f>IF(ISBLANK(pvs_eval!L132), "", IF(pvs_eval!L132 = "No clinical inference", 1, 0))</f>
        <v/>
      </c>
      <c r="G72" s="40" t="str">
        <f>IF(ISBLANK(pvs_eval!M132), "", IF(pvs_eval!M132 = "Unsafe, Non-Deducible Inference", 0, 1))</f>
        <v/>
      </c>
      <c r="H72" s="40" t="str">
        <f>IF(ISBLANK(pvs_eval!P132), "", IF(pvs_eval!P132 = "No omission", 1, 0))</f>
        <v/>
      </c>
      <c r="I72" s="40" t="str">
        <f>IF(ISBLANK(pvs_eval!T132), "", IF(pvs_eval!T132 = "No extraneous information", 1, 0))</f>
        <v/>
      </c>
      <c r="J72" s="40" t="str">
        <f>IF(ISBLANK(pvs_eval!X132), "", IF(pvs_eval!X132 = "No flow issues", 1, 0))</f>
        <v/>
      </c>
    </row>
    <row r="73">
      <c r="A73" s="43"/>
      <c r="E73" s="40" t="str">
        <f>IF(ISBLANK(pvs_eval!I133), "", IF(pvs_eval!I133 = "No hallucination", 1, 0))</f>
        <v/>
      </c>
      <c r="F73" s="40" t="str">
        <f>IF(ISBLANK(pvs_eval!L133), "", IF(pvs_eval!L133 = "No clinical inference", 1, 0))</f>
        <v/>
      </c>
      <c r="G73" s="40" t="str">
        <f>IF(ISBLANK(pvs_eval!M133), "", IF(pvs_eval!M133 = "Unsafe, Non-Deducible Inference", 0, 1))</f>
        <v/>
      </c>
      <c r="H73" s="40" t="str">
        <f>IF(ISBLANK(pvs_eval!P133), "", IF(pvs_eval!P133 = "No omission", 1, 0))</f>
        <v/>
      </c>
      <c r="I73" s="40" t="str">
        <f>IF(ISBLANK(pvs_eval!T133), "", IF(pvs_eval!T133 = "No extraneous information", 1, 0))</f>
        <v/>
      </c>
      <c r="J73" s="40" t="str">
        <f>IF(ISBLANK(pvs_eval!X133), "", IF(pvs_eval!X133 = "No flow issues", 1, 0))</f>
        <v/>
      </c>
    </row>
    <row r="74">
      <c r="A74" s="43"/>
      <c r="E74" s="40" t="str">
        <f>IF(ISBLANK(pvs_eval!I134), "", IF(pvs_eval!I134 = "No hallucination", 1, 0))</f>
        <v/>
      </c>
      <c r="F74" s="40" t="str">
        <f>IF(ISBLANK(pvs_eval!L134), "", IF(pvs_eval!L134 = "No clinical inference", 1, 0))</f>
        <v/>
      </c>
      <c r="G74" s="40" t="str">
        <f>IF(ISBLANK(pvs_eval!M134), "", IF(pvs_eval!M134 = "Unsafe, Non-Deducible Inference", 0, 1))</f>
        <v/>
      </c>
      <c r="H74" s="40" t="str">
        <f>IF(ISBLANK(pvs_eval!P134), "", IF(pvs_eval!P134 = "No omission", 1, 0))</f>
        <v/>
      </c>
      <c r="I74" s="40" t="str">
        <f>IF(ISBLANK(pvs_eval!T134), "", IF(pvs_eval!T134 = "No extraneous information", 1, 0))</f>
        <v/>
      </c>
      <c r="J74" s="40" t="str">
        <f>IF(ISBLANK(pvs_eval!X134), "", IF(pvs_eval!X134 = "No flow issues", 1, 0))</f>
        <v/>
      </c>
    </row>
    <row r="75">
      <c r="A75" s="43"/>
      <c r="E75" s="40" t="str">
        <f>IF(ISBLANK(pvs_eval!I135), "", IF(pvs_eval!I135 = "No hallucination", 1, 0))</f>
        <v/>
      </c>
      <c r="F75" s="40" t="str">
        <f>IF(ISBLANK(pvs_eval!L135), "", IF(pvs_eval!L135 = "No clinical inference", 1, 0))</f>
        <v/>
      </c>
      <c r="G75" s="40" t="str">
        <f>IF(ISBLANK(pvs_eval!M135), "", IF(pvs_eval!M135 = "Unsafe, Non-Deducible Inference", 0, 1))</f>
        <v/>
      </c>
      <c r="H75" s="40" t="str">
        <f>IF(ISBLANK(pvs_eval!P135), "", IF(pvs_eval!P135 = "No omission", 1, 0))</f>
        <v/>
      </c>
      <c r="I75" s="40" t="str">
        <f>IF(ISBLANK(pvs_eval!T135), "", IF(pvs_eval!T135 = "No extraneous information", 1, 0))</f>
        <v/>
      </c>
      <c r="J75" s="40" t="str">
        <f>IF(ISBLANK(pvs_eval!X135), "", IF(pvs_eval!X135 = "No flow issues", 1, 0))</f>
        <v/>
      </c>
    </row>
    <row r="76">
      <c r="A76" s="43"/>
      <c r="E76" s="40" t="str">
        <f>IF(ISBLANK(pvs_eval!I136), "", IF(pvs_eval!I136 = "No hallucination", 1, 0))</f>
        <v/>
      </c>
      <c r="F76" s="40" t="str">
        <f>IF(ISBLANK(pvs_eval!L136), "", IF(pvs_eval!L136 = "No clinical inference", 1, 0))</f>
        <v/>
      </c>
      <c r="G76" s="40" t="str">
        <f>IF(ISBLANK(pvs_eval!M136), "", IF(pvs_eval!M136 = "Unsafe, Non-Deducible Inference", 0, 1))</f>
        <v/>
      </c>
      <c r="H76" s="40" t="str">
        <f>IF(ISBLANK(pvs_eval!P136), "", IF(pvs_eval!P136 = "No omission", 1, 0))</f>
        <v/>
      </c>
      <c r="I76" s="40" t="str">
        <f>IF(ISBLANK(pvs_eval!T136), "", IF(pvs_eval!T136 = "No extraneous information", 1, 0))</f>
        <v/>
      </c>
      <c r="J76" s="40" t="str">
        <f>IF(ISBLANK(pvs_eval!X136), "", IF(pvs_eval!X136 = "No flow issues", 1, 0))</f>
        <v/>
      </c>
    </row>
    <row r="77">
      <c r="A77" s="43"/>
      <c r="E77" s="40" t="str">
        <f>IF(ISBLANK(pvs_eval!I137), "", IF(pvs_eval!I137 = "No hallucination", 1, 0))</f>
        <v/>
      </c>
      <c r="F77" s="40" t="str">
        <f>IF(ISBLANK(pvs_eval!L137), "", IF(pvs_eval!L137 = "No clinical inference", 1, 0))</f>
        <v/>
      </c>
      <c r="G77" s="40" t="str">
        <f>IF(ISBLANK(pvs_eval!M137), "", IF(pvs_eval!M137 = "Unsafe, Non-Deducible Inference", 0, 1))</f>
        <v/>
      </c>
      <c r="H77" s="40" t="str">
        <f>IF(ISBLANK(pvs_eval!P137), "", IF(pvs_eval!P137 = "No omission", 1, 0))</f>
        <v/>
      </c>
      <c r="I77" s="40" t="str">
        <f>IF(ISBLANK(pvs_eval!T137), "", IF(pvs_eval!T137 = "No extraneous information", 1, 0))</f>
        <v/>
      </c>
      <c r="J77" s="40" t="str">
        <f>IF(ISBLANK(pvs_eval!X137), "", IF(pvs_eval!X137 = "No flow issues", 1, 0))</f>
        <v/>
      </c>
    </row>
    <row r="78">
      <c r="A78" s="43"/>
      <c r="E78" s="40" t="str">
        <f>IF(ISBLANK(pvs_eval!I138), "", IF(pvs_eval!I138 = "No hallucination", 1, 0))</f>
        <v/>
      </c>
      <c r="F78" s="40" t="str">
        <f>IF(ISBLANK(pvs_eval!L138), "", IF(pvs_eval!L138 = "No clinical inference", 1, 0))</f>
        <v/>
      </c>
      <c r="G78" s="40" t="str">
        <f>IF(ISBLANK(pvs_eval!M138), "", IF(pvs_eval!M138 = "Unsafe, Non-Deducible Inference", 0, 1))</f>
        <v/>
      </c>
      <c r="H78" s="40" t="str">
        <f>IF(ISBLANK(pvs_eval!P138), "", IF(pvs_eval!P138 = "No omission", 1, 0))</f>
        <v/>
      </c>
      <c r="I78" s="40" t="str">
        <f>IF(ISBLANK(pvs_eval!T138), "", IF(pvs_eval!T138 = "No extraneous information", 1, 0))</f>
        <v/>
      </c>
      <c r="J78" s="40" t="str">
        <f>IF(ISBLANK(pvs_eval!X138), "", IF(pvs_eval!X138 = "No flow issues", 1, 0))</f>
        <v/>
      </c>
    </row>
    <row r="79">
      <c r="A79" s="43"/>
      <c r="E79" s="40" t="str">
        <f>IF(ISBLANK(pvs_eval!I139), "", IF(pvs_eval!I139 = "No hallucination", 1, 0))</f>
        <v/>
      </c>
      <c r="F79" s="40" t="str">
        <f>IF(ISBLANK(pvs_eval!L139), "", IF(pvs_eval!L139 = "No clinical inference", 1, 0))</f>
        <v/>
      </c>
      <c r="G79" s="40" t="str">
        <f>IF(ISBLANK(pvs_eval!M139), "", IF(pvs_eval!M139 = "Unsafe, Non-Deducible Inference", 0, 1))</f>
        <v/>
      </c>
      <c r="H79" s="40" t="str">
        <f>IF(ISBLANK(pvs_eval!P139), "", IF(pvs_eval!P139 = "No omission", 1, 0))</f>
        <v/>
      </c>
      <c r="I79" s="40" t="str">
        <f>IF(ISBLANK(pvs_eval!T139), "", IF(pvs_eval!T139 = "No extraneous information", 1, 0))</f>
        <v/>
      </c>
      <c r="J79" s="40" t="str">
        <f>IF(ISBLANK(pvs_eval!X139), "", IF(pvs_eval!X139 = "No flow issues", 1, 0))</f>
        <v/>
      </c>
    </row>
    <row r="80">
      <c r="A80" s="43"/>
      <c r="E80" s="40" t="str">
        <f>IF(ISBLANK(pvs_eval!I140), "", IF(pvs_eval!I140 = "No hallucination", 1, 0))</f>
        <v/>
      </c>
      <c r="F80" s="40" t="str">
        <f>IF(ISBLANK(pvs_eval!L140), "", IF(pvs_eval!L140 = "No clinical inference", 1, 0))</f>
        <v/>
      </c>
      <c r="G80" s="40" t="str">
        <f>IF(ISBLANK(pvs_eval!M140), "", IF(pvs_eval!M140 = "Unsafe, Non-Deducible Inference", 0, 1))</f>
        <v/>
      </c>
      <c r="H80" s="40" t="str">
        <f>IF(ISBLANK(pvs_eval!P140), "", IF(pvs_eval!P140 = "No omission", 1, 0))</f>
        <v/>
      </c>
      <c r="I80" s="40" t="str">
        <f>IF(ISBLANK(pvs_eval!T140), "", IF(pvs_eval!T140 = "No extraneous information", 1, 0))</f>
        <v/>
      </c>
      <c r="J80" s="40" t="str">
        <f>IF(ISBLANK(pvs_eval!X140), "", IF(pvs_eval!X140 = "No flow issues", 1, 0))</f>
        <v/>
      </c>
    </row>
    <row r="81">
      <c r="A81" s="43"/>
      <c r="E81" s="40" t="str">
        <f>IF(ISBLANK(pvs_eval!I141), "", IF(pvs_eval!I141 = "No hallucination", 1, 0))</f>
        <v/>
      </c>
      <c r="F81" s="40" t="str">
        <f>IF(ISBLANK(pvs_eval!L141), "", IF(pvs_eval!L141 = "No clinical inference", 1, 0))</f>
        <v/>
      </c>
      <c r="G81" s="40" t="str">
        <f>IF(ISBLANK(pvs_eval!M141), "", IF(pvs_eval!M141 = "Unsafe, Non-Deducible Inference", 0, 1))</f>
        <v/>
      </c>
      <c r="H81" s="40" t="str">
        <f>IF(ISBLANK(pvs_eval!P141), "", IF(pvs_eval!P141 = "No omission", 1, 0))</f>
        <v/>
      </c>
      <c r="I81" s="40" t="str">
        <f>IF(ISBLANK(pvs_eval!T141), "", IF(pvs_eval!T141 = "No extraneous information", 1, 0))</f>
        <v/>
      </c>
      <c r="J81" s="40" t="str">
        <f>IF(ISBLANK(pvs_eval!X141), "", IF(pvs_eval!X141 = "No flow issues", 1, 0))</f>
        <v/>
      </c>
    </row>
    <row r="82">
      <c r="A82" s="43"/>
      <c r="E82" s="40" t="str">
        <f>IF(ISBLANK(pvs_eval!I142), "", IF(pvs_eval!I142 = "No hallucination", 1, 0))</f>
        <v/>
      </c>
      <c r="F82" s="40" t="str">
        <f>IF(ISBLANK(pvs_eval!L142), "", IF(pvs_eval!L142 = "No clinical inference", 1, 0))</f>
        <v/>
      </c>
      <c r="G82" s="40" t="str">
        <f>IF(ISBLANK(pvs_eval!M142), "", IF(pvs_eval!M142 = "Unsafe, Non-Deducible Inference", 0, 1))</f>
        <v/>
      </c>
      <c r="H82" s="40" t="str">
        <f>IF(ISBLANK(pvs_eval!P142), "", IF(pvs_eval!P142 = "No omission", 1, 0))</f>
        <v/>
      </c>
      <c r="I82" s="40" t="str">
        <f>IF(ISBLANK(pvs_eval!T142), "", IF(pvs_eval!T142 = "No extraneous information", 1, 0))</f>
        <v/>
      </c>
      <c r="J82" s="40" t="str">
        <f>IF(ISBLANK(pvs_eval!X142), "", IF(pvs_eval!X142 = "No flow issues", 1, 0))</f>
        <v/>
      </c>
    </row>
    <row r="83">
      <c r="A83" s="43"/>
      <c r="E83" s="40" t="str">
        <f>IF(ISBLANK(pvs_eval!I143), "", IF(pvs_eval!I143 = "No hallucination", 1, 0))</f>
        <v/>
      </c>
      <c r="F83" s="40" t="str">
        <f>IF(ISBLANK(pvs_eval!L143), "", IF(pvs_eval!L143 = "No clinical inference", 1, 0))</f>
        <v/>
      </c>
      <c r="G83" s="40" t="str">
        <f>IF(ISBLANK(pvs_eval!M143), "", IF(pvs_eval!M143 = "Unsafe, Non-Deducible Inference", 0, 1))</f>
        <v/>
      </c>
      <c r="H83" s="40" t="str">
        <f>IF(ISBLANK(pvs_eval!P143), "", IF(pvs_eval!P143 = "No omission", 1, 0))</f>
        <v/>
      </c>
      <c r="I83" s="40" t="str">
        <f>IF(ISBLANK(pvs_eval!T143), "", IF(pvs_eval!T143 = "No extraneous information", 1, 0))</f>
        <v/>
      </c>
      <c r="J83" s="40" t="str">
        <f>IF(ISBLANK(pvs_eval!X143), "", IF(pvs_eval!X143 = "No flow issues", 1, 0))</f>
        <v/>
      </c>
    </row>
    <row r="84">
      <c r="A84" s="43"/>
      <c r="E84" s="40" t="str">
        <f>IF(ISBLANK(pvs_eval!I144), "", IF(pvs_eval!I144 = "No hallucination", 1, 0))</f>
        <v/>
      </c>
      <c r="F84" s="40" t="str">
        <f>IF(ISBLANK(pvs_eval!L144), "", IF(pvs_eval!L144 = "No clinical inference", 1, 0))</f>
        <v/>
      </c>
      <c r="G84" s="40" t="str">
        <f>IF(ISBLANK(pvs_eval!M144), "", IF(pvs_eval!M144 = "Unsafe, Non-Deducible Inference", 0, 1))</f>
        <v/>
      </c>
      <c r="H84" s="40" t="str">
        <f>IF(ISBLANK(pvs_eval!P144), "", IF(pvs_eval!P144 = "No omission", 1, 0))</f>
        <v/>
      </c>
      <c r="I84" s="40" t="str">
        <f>IF(ISBLANK(pvs_eval!T144), "", IF(pvs_eval!T144 = "No extraneous information", 1, 0))</f>
        <v/>
      </c>
      <c r="J84" s="40" t="str">
        <f>IF(ISBLANK(pvs_eval!X144), "", IF(pvs_eval!X144 = "No flow issues", 1, 0))</f>
        <v/>
      </c>
    </row>
    <row r="85">
      <c r="A85" s="43"/>
      <c r="E85" s="40" t="str">
        <f>IF(ISBLANK(pvs_eval!I145), "", IF(pvs_eval!I145 = "No hallucination", 1, 0))</f>
        <v/>
      </c>
      <c r="F85" s="40" t="str">
        <f>IF(ISBLANK(pvs_eval!L145), "", IF(pvs_eval!L145 = "No clinical inference", 1, 0))</f>
        <v/>
      </c>
      <c r="G85" s="40" t="str">
        <f>IF(ISBLANK(pvs_eval!M145), "", IF(pvs_eval!M145 = "Unsafe, Non-Deducible Inference", 0, 1))</f>
        <v/>
      </c>
      <c r="H85" s="40" t="str">
        <f>IF(ISBLANK(pvs_eval!P145), "", IF(pvs_eval!P145 = "No omission", 1, 0))</f>
        <v/>
      </c>
      <c r="I85" s="40" t="str">
        <f>IF(ISBLANK(pvs_eval!T145), "", IF(pvs_eval!T145 = "No extraneous information", 1, 0))</f>
        <v/>
      </c>
      <c r="J85" s="40" t="str">
        <f>IF(ISBLANK(pvs_eval!X145), "", IF(pvs_eval!X145 = "No flow issues", 1, 0))</f>
        <v/>
      </c>
    </row>
    <row r="86">
      <c r="A86" s="43"/>
      <c r="E86" s="40" t="str">
        <f>IF(ISBLANK(pvs_eval!I146), "", IF(pvs_eval!I146 = "No hallucination", 1, 0))</f>
        <v/>
      </c>
      <c r="F86" s="40" t="str">
        <f>IF(ISBLANK(pvs_eval!L146), "", IF(pvs_eval!L146 = "No clinical inference", 1, 0))</f>
        <v/>
      </c>
      <c r="G86" s="40" t="str">
        <f>IF(ISBLANK(pvs_eval!M146), "", IF(pvs_eval!M146 = "Unsafe, Non-Deducible Inference", 0, 1))</f>
        <v/>
      </c>
      <c r="H86" s="40" t="str">
        <f>IF(ISBLANK(pvs_eval!P146), "", IF(pvs_eval!P146 = "No omission", 1, 0))</f>
        <v/>
      </c>
      <c r="I86" s="40" t="str">
        <f>IF(ISBLANK(pvs_eval!T146), "", IF(pvs_eval!T146 = "No extraneous information", 1, 0))</f>
        <v/>
      </c>
      <c r="J86" s="40" t="str">
        <f>IF(ISBLANK(pvs_eval!X146), "", IF(pvs_eval!X146 = "No flow issues", 1, 0))</f>
        <v/>
      </c>
    </row>
    <row r="87">
      <c r="A87" s="43"/>
      <c r="E87" s="40" t="str">
        <f>IF(ISBLANK(pvs_eval!I147), "", IF(pvs_eval!I147 = "No hallucination", 1, 0))</f>
        <v/>
      </c>
      <c r="F87" s="40" t="str">
        <f>IF(ISBLANK(pvs_eval!L147), "", IF(pvs_eval!L147 = "No clinical inference", 1, 0))</f>
        <v/>
      </c>
      <c r="G87" s="40" t="str">
        <f>IF(ISBLANK(pvs_eval!M147), "", IF(pvs_eval!M147 = "Unsafe, Non-Deducible Inference", 0, 1))</f>
        <v/>
      </c>
      <c r="H87" s="40" t="str">
        <f>IF(ISBLANK(pvs_eval!P147), "", IF(pvs_eval!P147 = "No omission", 1, 0))</f>
        <v/>
      </c>
      <c r="I87" s="40" t="str">
        <f>IF(ISBLANK(pvs_eval!T147), "", IF(pvs_eval!T147 = "No extraneous information", 1, 0))</f>
        <v/>
      </c>
      <c r="J87" s="40" t="str">
        <f>IF(ISBLANK(pvs_eval!X147), "", IF(pvs_eval!X147 = "No flow issues", 1, 0))</f>
        <v/>
      </c>
    </row>
    <row r="88">
      <c r="A88" s="43"/>
      <c r="E88" s="40" t="str">
        <f>IF(ISBLANK(pvs_eval!I148), "", IF(pvs_eval!I148 = "No hallucination", 1, 0))</f>
        <v/>
      </c>
      <c r="F88" s="40" t="str">
        <f>IF(ISBLANK(pvs_eval!L148), "", IF(pvs_eval!L148 = "No clinical inference", 1, 0))</f>
        <v/>
      </c>
      <c r="G88" s="40" t="str">
        <f>IF(ISBLANK(pvs_eval!M148), "", IF(pvs_eval!M148 = "Unsafe, Non-Deducible Inference", 0, 1))</f>
        <v/>
      </c>
      <c r="H88" s="40" t="str">
        <f>IF(ISBLANK(pvs_eval!P148), "", IF(pvs_eval!P148 = "No omission", 1, 0))</f>
        <v/>
      </c>
      <c r="I88" s="40" t="str">
        <f>IF(ISBLANK(pvs_eval!T148), "", IF(pvs_eval!T148 = "No extraneous information", 1, 0))</f>
        <v/>
      </c>
      <c r="J88" s="40" t="str">
        <f>IF(ISBLANK(pvs_eval!X148), "", IF(pvs_eval!X148 = "No flow issues", 1, 0))</f>
        <v/>
      </c>
    </row>
    <row r="89">
      <c r="A89" s="43"/>
      <c r="E89" s="40" t="str">
        <f>IF(ISBLANK(pvs_eval!I149), "", IF(pvs_eval!I149 = "No hallucination", 1, 0))</f>
        <v/>
      </c>
      <c r="F89" s="40" t="str">
        <f>IF(ISBLANK(pvs_eval!L149), "", IF(pvs_eval!L149 = "No clinical inference", 1, 0))</f>
        <v/>
      </c>
      <c r="G89" s="40" t="str">
        <f>IF(ISBLANK(pvs_eval!M149), "", IF(pvs_eval!M149 = "Unsafe, Non-Deducible Inference", 0, 1))</f>
        <v/>
      </c>
      <c r="H89" s="40" t="str">
        <f>IF(ISBLANK(pvs_eval!P149), "", IF(pvs_eval!P149 = "No omission", 1, 0))</f>
        <v/>
      </c>
      <c r="I89" s="40" t="str">
        <f>IF(ISBLANK(pvs_eval!T149), "", IF(pvs_eval!T149 = "No extraneous information", 1, 0))</f>
        <v/>
      </c>
      <c r="J89" s="40" t="str">
        <f>IF(ISBLANK(pvs_eval!X149), "", IF(pvs_eval!X149 = "No flow issues", 1, 0))</f>
        <v/>
      </c>
    </row>
    <row r="90">
      <c r="A90" s="43"/>
      <c r="E90" s="40" t="str">
        <f>IF(ISBLANK(pvs_eval!I150), "", IF(pvs_eval!I150 = "No hallucination", 1, 0))</f>
        <v/>
      </c>
      <c r="F90" s="40" t="str">
        <f>IF(ISBLANK(pvs_eval!L150), "", IF(pvs_eval!L150 = "No clinical inference", 1, 0))</f>
        <v/>
      </c>
      <c r="G90" s="40" t="str">
        <f>IF(ISBLANK(pvs_eval!M150), "", IF(pvs_eval!M150 = "Unsafe, Non-Deducible Inference", 0, 1))</f>
        <v/>
      </c>
      <c r="H90" s="40" t="str">
        <f>IF(ISBLANK(pvs_eval!P150), "", IF(pvs_eval!P150 = "No omission", 1, 0))</f>
        <v/>
      </c>
      <c r="I90" s="40" t="str">
        <f>IF(ISBLANK(pvs_eval!T150), "", IF(pvs_eval!T150 = "No extraneous information", 1, 0))</f>
        <v/>
      </c>
      <c r="J90" s="40" t="str">
        <f>IF(ISBLANK(pvs_eval!X150), "", IF(pvs_eval!X150 = "No flow issues", 1, 0))</f>
        <v/>
      </c>
    </row>
    <row r="91">
      <c r="A91" s="43"/>
      <c r="E91" s="40" t="str">
        <f>IF(ISBLANK(pvs_eval!I151), "", IF(pvs_eval!I151 = "No hallucination", 1, 0))</f>
        <v/>
      </c>
      <c r="F91" s="40" t="str">
        <f>IF(ISBLANK(pvs_eval!L151), "", IF(pvs_eval!L151 = "No clinical inference", 1, 0))</f>
        <v/>
      </c>
      <c r="G91" s="40" t="str">
        <f>IF(ISBLANK(pvs_eval!M151), "", IF(pvs_eval!M151 = "Unsafe, Non-Deducible Inference", 0, 1))</f>
        <v/>
      </c>
      <c r="H91" s="40" t="str">
        <f>IF(ISBLANK(pvs_eval!P151), "", IF(pvs_eval!P151 = "No omission", 1, 0))</f>
        <v/>
      </c>
      <c r="I91" s="40" t="str">
        <f>IF(ISBLANK(pvs_eval!T151), "", IF(pvs_eval!T151 = "No extraneous information", 1, 0))</f>
        <v/>
      </c>
      <c r="J91" s="40" t="str">
        <f>IF(ISBLANK(pvs_eval!X151), "", IF(pvs_eval!X151 = "No flow issues", 1, 0))</f>
        <v/>
      </c>
    </row>
    <row r="92">
      <c r="A92" s="43"/>
      <c r="E92" s="40" t="str">
        <f>IF(ISBLANK(pvs_eval!I152), "", IF(pvs_eval!I152 = "No hallucination", 1, 0))</f>
        <v/>
      </c>
      <c r="F92" s="40" t="str">
        <f>IF(ISBLANK(pvs_eval!L152), "", IF(pvs_eval!L152 = "No clinical inference", 1, 0))</f>
        <v/>
      </c>
      <c r="G92" s="40" t="str">
        <f>IF(ISBLANK(pvs_eval!M152), "", IF(pvs_eval!M152 = "Unsafe, Non-Deducible Inference", 0, 1))</f>
        <v/>
      </c>
      <c r="H92" s="40" t="str">
        <f>IF(ISBLANK(pvs_eval!P152), "", IF(pvs_eval!P152 = "No omission", 1, 0))</f>
        <v/>
      </c>
      <c r="I92" s="40" t="str">
        <f>IF(ISBLANK(pvs_eval!T152), "", IF(pvs_eval!T152 = "No extraneous information", 1, 0))</f>
        <v/>
      </c>
      <c r="J92" s="40" t="str">
        <f>IF(ISBLANK(pvs_eval!X152), "", IF(pvs_eval!X152 = "No flow issues", 1, 0))</f>
        <v/>
      </c>
    </row>
    <row r="93">
      <c r="A93" s="43"/>
      <c r="E93" s="40" t="str">
        <f>IF(ISBLANK(pvs_eval!I153), "", IF(pvs_eval!I153 = "No hallucination", 1, 0))</f>
        <v/>
      </c>
      <c r="F93" s="40" t="str">
        <f>IF(ISBLANK(pvs_eval!L153), "", IF(pvs_eval!L153 = "No clinical inference", 1, 0))</f>
        <v/>
      </c>
      <c r="G93" s="40" t="str">
        <f>IF(ISBLANK(pvs_eval!M153), "", IF(pvs_eval!M153 = "Unsafe, Non-Deducible Inference", 0, 1))</f>
        <v/>
      </c>
      <c r="H93" s="40" t="str">
        <f>IF(ISBLANK(pvs_eval!P153), "", IF(pvs_eval!P153 = "No omission", 1, 0))</f>
        <v/>
      </c>
      <c r="I93" s="40" t="str">
        <f>IF(ISBLANK(pvs_eval!T153), "", IF(pvs_eval!T153 = "No extraneous information", 1, 0))</f>
        <v/>
      </c>
      <c r="J93" s="40" t="str">
        <f>IF(ISBLANK(pvs_eval!X153), "", IF(pvs_eval!X153 = "No flow issues", 1, 0))</f>
        <v/>
      </c>
    </row>
    <row r="94">
      <c r="A94" s="43"/>
      <c r="E94" s="40" t="str">
        <f>IF(ISBLANK(pvs_eval!I154), "", IF(pvs_eval!I154 = "No hallucination", 1, 0))</f>
        <v/>
      </c>
      <c r="F94" s="40" t="str">
        <f>IF(ISBLANK(pvs_eval!L154), "", IF(pvs_eval!L154 = "No clinical inference", 1, 0))</f>
        <v/>
      </c>
      <c r="G94" s="40" t="str">
        <f>IF(ISBLANK(pvs_eval!M154), "", IF(pvs_eval!M154 = "Unsafe, Non-Deducible Inference", 0, 1))</f>
        <v/>
      </c>
      <c r="H94" s="40" t="str">
        <f>IF(ISBLANK(pvs_eval!P154), "", IF(pvs_eval!P154 = "No omission", 1, 0))</f>
        <v/>
      </c>
      <c r="I94" s="40" t="str">
        <f>IF(ISBLANK(pvs_eval!T154), "", IF(pvs_eval!T154 = "No extraneous information", 1, 0))</f>
        <v/>
      </c>
      <c r="J94" s="40" t="str">
        <f>IF(ISBLANK(pvs_eval!X154), "", IF(pvs_eval!X154 = "No flow issues", 1, 0))</f>
        <v/>
      </c>
    </row>
    <row r="95">
      <c r="A95" s="43"/>
      <c r="E95" s="40" t="str">
        <f>IF(ISBLANK(pvs_eval!I155), "", IF(pvs_eval!I155 = "No hallucination", 1, 0))</f>
        <v/>
      </c>
      <c r="F95" s="40" t="str">
        <f>IF(ISBLANK(pvs_eval!L155), "", IF(pvs_eval!L155 = "No clinical inference", 1, 0))</f>
        <v/>
      </c>
      <c r="G95" s="40" t="str">
        <f>IF(ISBLANK(pvs_eval!M155), "", IF(pvs_eval!M155 = "Unsafe, Non-Deducible Inference", 0, 1))</f>
        <v/>
      </c>
      <c r="H95" s="40" t="str">
        <f>IF(ISBLANK(pvs_eval!P155), "", IF(pvs_eval!P155 = "No omission", 1, 0))</f>
        <v/>
      </c>
      <c r="I95" s="40" t="str">
        <f>IF(ISBLANK(pvs_eval!T155), "", IF(pvs_eval!T155 = "No extraneous information", 1, 0))</f>
        <v/>
      </c>
      <c r="J95" s="40" t="str">
        <f>IF(ISBLANK(pvs_eval!X155), "", IF(pvs_eval!X155 = "No flow issues", 1, 0))</f>
        <v/>
      </c>
    </row>
    <row r="96">
      <c r="A96" s="43"/>
      <c r="E96" s="40" t="str">
        <f>IF(ISBLANK(pvs_eval!I156), "", IF(pvs_eval!I156 = "No hallucination", 1, 0))</f>
        <v/>
      </c>
      <c r="F96" s="40" t="str">
        <f>IF(ISBLANK(pvs_eval!L156), "", IF(pvs_eval!L156 = "No clinical inference", 1, 0))</f>
        <v/>
      </c>
      <c r="G96" s="40" t="str">
        <f>IF(ISBLANK(pvs_eval!M156), "", IF(pvs_eval!M156 = "Unsafe, Non-Deducible Inference", 0, 1))</f>
        <v/>
      </c>
      <c r="H96" s="40" t="str">
        <f>IF(ISBLANK(pvs_eval!P156), "", IF(pvs_eval!P156 = "No omission", 1, 0))</f>
        <v/>
      </c>
      <c r="I96" s="40" t="str">
        <f>IF(ISBLANK(pvs_eval!T156), "", IF(pvs_eval!T156 = "No extraneous information", 1, 0))</f>
        <v/>
      </c>
      <c r="J96" s="40" t="str">
        <f>IF(ISBLANK(pvs_eval!X156), "", IF(pvs_eval!X156 = "No flow issues", 1, 0))</f>
        <v/>
      </c>
    </row>
    <row r="97">
      <c r="A97" s="43"/>
      <c r="E97" s="40" t="str">
        <f>IF(ISBLANK(pvs_eval!I157), "", IF(pvs_eval!I157 = "No hallucination", 1, 0))</f>
        <v/>
      </c>
      <c r="F97" s="40" t="str">
        <f>IF(ISBLANK(pvs_eval!L157), "", IF(pvs_eval!L157 = "No clinical inference", 1, 0))</f>
        <v/>
      </c>
      <c r="G97" s="40" t="str">
        <f>IF(ISBLANK(pvs_eval!M157), "", IF(pvs_eval!M157 = "Unsafe, Non-Deducible Inference", 0, 1))</f>
        <v/>
      </c>
      <c r="H97" s="40" t="str">
        <f>IF(ISBLANK(pvs_eval!P157), "", IF(pvs_eval!P157 = "No omission", 1, 0))</f>
        <v/>
      </c>
      <c r="I97" s="40" t="str">
        <f>IF(ISBLANK(pvs_eval!T157), "", IF(pvs_eval!T157 = "No extraneous information", 1, 0))</f>
        <v/>
      </c>
      <c r="J97" s="40" t="str">
        <f>IF(ISBLANK(pvs_eval!X157), "", IF(pvs_eval!X157 = "No flow issues", 1, 0))</f>
        <v/>
      </c>
    </row>
    <row r="98">
      <c r="A98" s="43"/>
      <c r="E98" s="40" t="str">
        <f>IF(ISBLANK(pvs_eval!I158), "", IF(pvs_eval!I158 = "No hallucination", 1, 0))</f>
        <v/>
      </c>
      <c r="F98" s="40" t="str">
        <f>IF(ISBLANK(pvs_eval!L158), "", IF(pvs_eval!L158 = "No clinical inference", 1, 0))</f>
        <v/>
      </c>
      <c r="G98" s="40" t="str">
        <f>IF(ISBLANK(pvs_eval!M158), "", IF(pvs_eval!M158 = "Unsafe, Non-Deducible Inference", 0, 1))</f>
        <v/>
      </c>
      <c r="H98" s="40" t="str">
        <f>IF(ISBLANK(pvs_eval!P158), "", IF(pvs_eval!P158 = "No omission", 1, 0))</f>
        <v/>
      </c>
      <c r="I98" s="40" t="str">
        <f>IF(ISBLANK(pvs_eval!T158), "", IF(pvs_eval!T158 = "No extraneous information", 1, 0))</f>
        <v/>
      </c>
      <c r="J98" s="40" t="str">
        <f>IF(ISBLANK(pvs_eval!X158), "", IF(pvs_eval!X158 = "No flow issues", 1, 0))</f>
        <v/>
      </c>
    </row>
    <row r="99">
      <c r="A99" s="43"/>
      <c r="E99" s="40" t="str">
        <f>IF(ISBLANK(pvs_eval!I159), "", IF(pvs_eval!I159 = "No hallucination", 1, 0))</f>
        <v/>
      </c>
      <c r="F99" s="40" t="str">
        <f>IF(ISBLANK(pvs_eval!L159), "", IF(pvs_eval!L159 = "No clinical inference", 1, 0))</f>
        <v/>
      </c>
      <c r="G99" s="40" t="str">
        <f>IF(ISBLANK(pvs_eval!M159), "", IF(pvs_eval!M159 = "Unsafe, Non-Deducible Inference", 0, 1))</f>
        <v/>
      </c>
      <c r="H99" s="40" t="str">
        <f>IF(ISBLANK(pvs_eval!P159), "", IF(pvs_eval!P159 = "No omission", 1, 0))</f>
        <v/>
      </c>
      <c r="I99" s="40" t="str">
        <f>IF(ISBLANK(pvs_eval!T159), "", IF(pvs_eval!T159 = "No extraneous information", 1, 0))</f>
        <v/>
      </c>
      <c r="J99" s="40" t="str">
        <f>IF(ISBLANK(pvs_eval!X159), "", IF(pvs_eval!X159 = "No flow issues", 1, 0))</f>
        <v/>
      </c>
    </row>
    <row r="100">
      <c r="A100" s="43"/>
      <c r="E100" s="40" t="str">
        <f>IF(ISBLANK(pvs_eval!I160), "", IF(pvs_eval!I160 = "No hallucination", 1, 0))</f>
        <v/>
      </c>
      <c r="F100" s="40" t="str">
        <f>IF(ISBLANK(pvs_eval!L160), "", IF(pvs_eval!L160 = "No clinical inference", 1, 0))</f>
        <v/>
      </c>
      <c r="G100" s="40" t="str">
        <f>IF(ISBLANK(pvs_eval!M160), "", IF(pvs_eval!M160 = "Unsafe, Non-Deducible Inference", 0, 1))</f>
        <v/>
      </c>
      <c r="H100" s="40" t="str">
        <f>IF(ISBLANK(pvs_eval!P160), "", IF(pvs_eval!P160 = "No omission", 1, 0))</f>
        <v/>
      </c>
      <c r="I100" s="40" t="str">
        <f>IF(ISBLANK(pvs_eval!T160), "", IF(pvs_eval!T160 = "No extraneous information", 1, 0))</f>
        <v/>
      </c>
      <c r="J100" s="40" t="str">
        <f>IF(ISBLANK(pvs_eval!X160), "", IF(pvs_eval!X160 = "No flow issues", 1, 0))</f>
        <v/>
      </c>
    </row>
    <row r="101">
      <c r="A101" s="43"/>
      <c r="E101" s="40" t="str">
        <f>IF(ISBLANK(pvs_eval!I161), "", IF(pvs_eval!I161 = "No hallucination", 1, 0))</f>
        <v/>
      </c>
      <c r="F101" s="40" t="str">
        <f>IF(ISBLANK(pvs_eval!L161), "", IF(pvs_eval!L161 = "No clinical inference", 1, 0))</f>
        <v/>
      </c>
      <c r="G101" s="40" t="str">
        <f>IF(ISBLANK(pvs_eval!M161), "", IF(pvs_eval!M161 = "Unsafe, Non-Deducible Inference", 0, 1))</f>
        <v/>
      </c>
      <c r="H101" s="40" t="str">
        <f>IF(ISBLANK(pvs_eval!P161), "", IF(pvs_eval!P161 = "No omission", 1, 0))</f>
        <v/>
      </c>
      <c r="I101" s="40" t="str">
        <f>IF(ISBLANK(pvs_eval!T161), "", IF(pvs_eval!T161 = "No extraneous information", 1, 0))</f>
        <v/>
      </c>
      <c r="J101" s="40" t="str">
        <f>IF(ISBLANK(pvs_eval!X161), "", IF(pvs_eval!X161 = "No flow issues", 1, 0))</f>
        <v/>
      </c>
    </row>
    <row r="102">
      <c r="A102" s="43"/>
      <c r="E102" s="40" t="str">
        <f>IF(ISBLANK(pvs_eval!I162), "", IF(pvs_eval!I162 = "No hallucination", 1, 0))</f>
        <v/>
      </c>
      <c r="F102" s="40" t="str">
        <f>IF(ISBLANK(pvs_eval!L162), "", IF(pvs_eval!L162 = "No clinical inference", 1, 0))</f>
        <v/>
      </c>
      <c r="G102" s="40" t="str">
        <f>IF(ISBLANK(pvs_eval!M162), "", IF(pvs_eval!M162 = "Unsafe, Non-Deducible Inference", 0, 1))</f>
        <v/>
      </c>
      <c r="H102" s="40" t="str">
        <f>IF(ISBLANK(pvs_eval!P162), "", IF(pvs_eval!P162 = "No omission", 1, 0))</f>
        <v/>
      </c>
      <c r="I102" s="40" t="str">
        <f>IF(ISBLANK(pvs_eval!T162), "", IF(pvs_eval!T162 = "No extraneous information", 1, 0))</f>
        <v/>
      </c>
      <c r="J102" s="40" t="str">
        <f>IF(ISBLANK(pvs_eval!X162), "", IF(pvs_eval!X162 = "No flow issues", 1, 0))</f>
        <v/>
      </c>
    </row>
    <row r="103">
      <c r="A103" s="43"/>
      <c r="E103" s="40" t="str">
        <f>IF(ISBLANK(pvs_eval!I163), "", IF(pvs_eval!I163 = "No hallucination", 1, 0))</f>
        <v/>
      </c>
      <c r="F103" s="40" t="str">
        <f>IF(ISBLANK(pvs_eval!L163), "", IF(pvs_eval!L163 = "No clinical inference", 1, 0))</f>
        <v/>
      </c>
      <c r="G103" s="40" t="str">
        <f>IF(ISBLANK(pvs_eval!M163), "", IF(pvs_eval!M163 = "Unsafe, Non-Deducible Inference", 0, 1))</f>
        <v/>
      </c>
      <c r="H103" s="40" t="str">
        <f>IF(ISBLANK(pvs_eval!P163), "", IF(pvs_eval!P163 = "No omission", 1, 0))</f>
        <v/>
      </c>
      <c r="I103" s="40" t="str">
        <f>IF(ISBLANK(pvs_eval!T163), "", IF(pvs_eval!T163 = "No extraneous information", 1, 0))</f>
        <v/>
      </c>
      <c r="J103" s="40" t="str">
        <f>IF(ISBLANK(pvs_eval!X163), "", IF(pvs_eval!X163 = "No flow issues", 1, 0))</f>
        <v/>
      </c>
    </row>
    <row r="104">
      <c r="A104" s="43"/>
      <c r="E104" s="40" t="str">
        <f>IF(ISBLANK(pvs_eval!I164), "", IF(pvs_eval!I164 = "No hallucination", 1, 0))</f>
        <v/>
      </c>
      <c r="F104" s="40" t="str">
        <f>IF(ISBLANK(pvs_eval!L164), "", IF(pvs_eval!L164 = "No clinical inference", 1, 0))</f>
        <v/>
      </c>
      <c r="G104" s="40" t="str">
        <f>IF(ISBLANK(pvs_eval!M164), "", IF(pvs_eval!M164 = "Unsafe, Non-Deducible Inference", 0, 1))</f>
        <v/>
      </c>
      <c r="H104" s="40" t="str">
        <f>IF(ISBLANK(pvs_eval!P164), "", IF(pvs_eval!P164 = "No omission", 1, 0))</f>
        <v/>
      </c>
      <c r="I104" s="40" t="str">
        <f>IF(ISBLANK(pvs_eval!T164), "", IF(pvs_eval!T164 = "No extraneous information", 1, 0))</f>
        <v/>
      </c>
      <c r="J104" s="40" t="str">
        <f>IF(ISBLANK(pvs_eval!X164), "", IF(pvs_eval!X164 = "No flow issues", 1, 0))</f>
        <v/>
      </c>
    </row>
    <row r="105">
      <c r="A105" s="43"/>
      <c r="E105" s="40" t="str">
        <f>IF(ISBLANK(pvs_eval!I165), "", IF(pvs_eval!I165 = "No hallucination", 1, 0))</f>
        <v/>
      </c>
      <c r="F105" s="40" t="str">
        <f>IF(ISBLANK(pvs_eval!L165), "", IF(pvs_eval!L165 = "No clinical inference", 1, 0))</f>
        <v/>
      </c>
      <c r="G105" s="40" t="str">
        <f>IF(ISBLANK(pvs_eval!M165), "", IF(pvs_eval!M165 = "Unsafe, Non-Deducible Inference", 0, 1))</f>
        <v/>
      </c>
      <c r="H105" s="40" t="str">
        <f>IF(ISBLANK(pvs_eval!P165), "", IF(pvs_eval!P165 = "No omission", 1, 0))</f>
        <v/>
      </c>
      <c r="I105" s="40" t="str">
        <f>IF(ISBLANK(pvs_eval!T165), "", IF(pvs_eval!T165 = "No extraneous information", 1, 0))</f>
        <v/>
      </c>
      <c r="J105" s="40" t="str">
        <f>IF(ISBLANK(pvs_eval!X165), "", IF(pvs_eval!X165 = "No flow issues", 1, 0))</f>
        <v/>
      </c>
    </row>
    <row r="106">
      <c r="A106" s="43"/>
      <c r="E106" s="40" t="str">
        <f>IF(ISBLANK(pvs_eval!I166), "", IF(pvs_eval!I166 = "No hallucination", 1, 0))</f>
        <v/>
      </c>
      <c r="F106" s="40" t="str">
        <f>IF(ISBLANK(pvs_eval!L166), "", IF(pvs_eval!L166 = "No clinical inference", 1, 0))</f>
        <v/>
      </c>
      <c r="G106" s="40" t="str">
        <f>IF(ISBLANK(pvs_eval!M166), "", IF(pvs_eval!M166 = "Unsafe, Non-Deducible Inference", 0, 1))</f>
        <v/>
      </c>
      <c r="H106" s="40" t="str">
        <f>IF(ISBLANK(pvs_eval!P166), "", IF(pvs_eval!P166 = "No omission", 1, 0))</f>
        <v/>
      </c>
      <c r="I106" s="40" t="str">
        <f>IF(ISBLANK(pvs_eval!T166), "", IF(pvs_eval!T166 = "No extraneous information", 1, 0))</f>
        <v/>
      </c>
      <c r="J106" s="40" t="str">
        <f>IF(ISBLANK(pvs_eval!X166), "", IF(pvs_eval!X166 = "No flow issues", 1, 0))</f>
        <v/>
      </c>
    </row>
    <row r="107">
      <c r="A107" s="43"/>
      <c r="E107" s="40" t="str">
        <f>IF(ISBLANK(pvs_eval!I167), "", IF(pvs_eval!I167 = "No hallucination", 1, 0))</f>
        <v/>
      </c>
      <c r="F107" s="40" t="str">
        <f>IF(ISBLANK(pvs_eval!L167), "", IF(pvs_eval!L167 = "No clinical inference", 1, 0))</f>
        <v/>
      </c>
      <c r="G107" s="40" t="str">
        <f>IF(ISBLANK(pvs_eval!M167), "", IF(pvs_eval!M167 = "Unsafe, Non-Deducible Inference", 0, 1))</f>
        <v/>
      </c>
      <c r="H107" s="40" t="str">
        <f>IF(ISBLANK(pvs_eval!P167), "", IF(pvs_eval!P167 = "No omission", 1, 0))</f>
        <v/>
      </c>
      <c r="I107" s="40" t="str">
        <f>IF(ISBLANK(pvs_eval!T167), "", IF(pvs_eval!T167 = "No extraneous information", 1, 0))</f>
        <v/>
      </c>
      <c r="J107" s="40" t="str">
        <f>IF(ISBLANK(pvs_eval!X167), "", IF(pvs_eval!X167 = "No flow issues", 1, 0))</f>
        <v/>
      </c>
    </row>
    <row r="108">
      <c r="A108" s="43"/>
      <c r="E108" s="40" t="str">
        <f>IF(ISBLANK(pvs_eval!I168), "", IF(pvs_eval!I168 = "No hallucination", 1, 0))</f>
        <v/>
      </c>
      <c r="F108" s="40" t="str">
        <f>IF(ISBLANK(pvs_eval!L168), "", IF(pvs_eval!L168 = "No clinical inference", 1, 0))</f>
        <v/>
      </c>
      <c r="G108" s="40" t="str">
        <f>IF(ISBLANK(pvs_eval!M168), "", IF(pvs_eval!M168 = "Unsafe, Non-Deducible Inference", 0, 1))</f>
        <v/>
      </c>
      <c r="H108" s="40" t="str">
        <f>IF(ISBLANK(pvs_eval!P168), "", IF(pvs_eval!P168 = "No omission", 1, 0))</f>
        <v/>
      </c>
      <c r="I108" s="40" t="str">
        <f>IF(ISBLANK(pvs_eval!T168), "", IF(pvs_eval!T168 = "No extraneous information", 1, 0))</f>
        <v/>
      </c>
      <c r="J108" s="40" t="str">
        <f>IF(ISBLANK(pvs_eval!X168), "", IF(pvs_eval!X168 = "No flow issues", 1, 0))</f>
        <v/>
      </c>
    </row>
    <row r="109">
      <c r="A109" s="43"/>
      <c r="E109" s="40" t="str">
        <f>IF(ISBLANK(pvs_eval!I169), "", IF(pvs_eval!I169 = "No hallucination", 1, 0))</f>
        <v/>
      </c>
      <c r="F109" s="40" t="str">
        <f>IF(ISBLANK(pvs_eval!L169), "", IF(pvs_eval!L169 = "No clinical inference", 1, 0))</f>
        <v/>
      </c>
      <c r="G109" s="40" t="str">
        <f>IF(ISBLANK(pvs_eval!M169), "", IF(pvs_eval!M169 = "Unsafe, Non-Deducible Inference", 0, 1))</f>
        <v/>
      </c>
      <c r="H109" s="40" t="str">
        <f>IF(ISBLANK(pvs_eval!P169), "", IF(pvs_eval!P169 = "No omission", 1, 0))</f>
        <v/>
      </c>
      <c r="I109" s="40" t="str">
        <f>IF(ISBLANK(pvs_eval!T169), "", IF(pvs_eval!T169 = "No extraneous information", 1, 0))</f>
        <v/>
      </c>
      <c r="J109" s="40" t="str">
        <f>IF(ISBLANK(pvs_eval!X169), "", IF(pvs_eval!X169 = "No flow issues", 1, 0))</f>
        <v/>
      </c>
    </row>
    <row r="110">
      <c r="A110" s="43"/>
      <c r="E110" s="40" t="str">
        <f>IF(ISBLANK(pvs_eval!I170), "", IF(pvs_eval!I170 = "No hallucination", 1, 0))</f>
        <v/>
      </c>
      <c r="F110" s="40" t="str">
        <f>IF(ISBLANK(pvs_eval!L170), "", IF(pvs_eval!L170 = "No clinical inference", 1, 0))</f>
        <v/>
      </c>
      <c r="G110" s="40" t="str">
        <f>IF(ISBLANK(pvs_eval!M170), "", IF(pvs_eval!M170 = "Unsafe, Non-Deducible Inference", 0, 1))</f>
        <v/>
      </c>
      <c r="H110" s="40" t="str">
        <f>IF(ISBLANK(pvs_eval!P170), "", IF(pvs_eval!P170 = "No omission", 1, 0))</f>
        <v/>
      </c>
      <c r="I110" s="40" t="str">
        <f>IF(ISBLANK(pvs_eval!T170), "", IF(pvs_eval!T170 = "No extraneous information", 1, 0))</f>
        <v/>
      </c>
      <c r="J110" s="40" t="str">
        <f>IF(ISBLANK(pvs_eval!X170), "", IF(pvs_eval!X170 = "No flow issues", 1, 0))</f>
        <v/>
      </c>
    </row>
    <row r="111">
      <c r="A111" s="43"/>
      <c r="E111" s="40" t="str">
        <f>IF(ISBLANK(pvs_eval!I171), "", IF(pvs_eval!I171 = "No hallucination", 1, 0))</f>
        <v/>
      </c>
      <c r="F111" s="40" t="str">
        <f>IF(ISBLANK(pvs_eval!L171), "", IF(pvs_eval!L171 = "No clinical inference", 1, 0))</f>
        <v/>
      </c>
      <c r="G111" s="40" t="str">
        <f>IF(ISBLANK(pvs_eval!M171), "", IF(pvs_eval!M171 = "Unsafe, Non-Deducible Inference", 0, 1))</f>
        <v/>
      </c>
      <c r="H111" s="40" t="str">
        <f>IF(ISBLANK(pvs_eval!P171), "", IF(pvs_eval!P171 = "No omission", 1, 0))</f>
        <v/>
      </c>
      <c r="I111" s="40" t="str">
        <f>IF(ISBLANK(pvs_eval!T171), "", IF(pvs_eval!T171 = "No extraneous information", 1, 0))</f>
        <v/>
      </c>
      <c r="J111" s="40" t="str">
        <f>IF(ISBLANK(pvs_eval!X171), "", IF(pvs_eval!X171 = "No flow issues", 1, 0))</f>
        <v/>
      </c>
    </row>
    <row r="112">
      <c r="A112" s="43"/>
      <c r="E112" s="40" t="str">
        <f>IF(ISBLANK(pvs_eval!I172), "", IF(pvs_eval!I172 = "No hallucination", 1, 0))</f>
        <v/>
      </c>
      <c r="F112" s="40" t="str">
        <f>IF(ISBLANK(pvs_eval!L172), "", IF(pvs_eval!L172 = "No clinical inference", 1, 0))</f>
        <v/>
      </c>
      <c r="G112" s="40" t="str">
        <f>IF(ISBLANK(pvs_eval!M172), "", IF(pvs_eval!M172 = "Unsafe, Non-Deducible Inference", 0, 1))</f>
        <v/>
      </c>
      <c r="H112" s="40" t="str">
        <f>IF(ISBLANK(pvs_eval!P172), "", IF(pvs_eval!P172 = "No omission", 1, 0))</f>
        <v/>
      </c>
      <c r="I112" s="40" t="str">
        <f>IF(ISBLANK(pvs_eval!T172), "", IF(pvs_eval!T172 = "No extraneous information", 1, 0))</f>
        <v/>
      </c>
      <c r="J112" s="40" t="str">
        <f>IF(ISBLANK(pvs_eval!X172), "", IF(pvs_eval!X172 = "No flow issues", 1, 0))</f>
        <v/>
      </c>
    </row>
    <row r="113">
      <c r="A113" s="43"/>
      <c r="E113" s="40" t="str">
        <f>IF(ISBLANK(pvs_eval!I173), "", IF(pvs_eval!I173 = "No hallucination", 1, 0))</f>
        <v/>
      </c>
      <c r="F113" s="40" t="str">
        <f>IF(ISBLANK(pvs_eval!L173), "", IF(pvs_eval!L173 = "No clinical inference", 1, 0))</f>
        <v/>
      </c>
      <c r="G113" s="40" t="str">
        <f>IF(ISBLANK(pvs_eval!M173), "", IF(pvs_eval!M173 = "Unsafe, Non-Deducible Inference", 0, 1))</f>
        <v/>
      </c>
      <c r="H113" s="40" t="str">
        <f>IF(ISBLANK(pvs_eval!P173), "", IF(pvs_eval!P173 = "No omission", 1, 0))</f>
        <v/>
      </c>
      <c r="I113" s="40" t="str">
        <f>IF(ISBLANK(pvs_eval!T173), "", IF(pvs_eval!T173 = "No extraneous information", 1, 0))</f>
        <v/>
      </c>
      <c r="J113" s="40" t="str">
        <f>IF(ISBLANK(pvs_eval!X173), "", IF(pvs_eval!X173 = "No flow issues", 1, 0))</f>
        <v/>
      </c>
    </row>
    <row r="114">
      <c r="A114" s="43"/>
      <c r="E114" s="40" t="str">
        <f>IF(ISBLANK(pvs_eval!I174), "", IF(pvs_eval!I174 = "No hallucination", 1, 0))</f>
        <v/>
      </c>
      <c r="F114" s="40" t="str">
        <f>IF(ISBLANK(pvs_eval!L174), "", IF(pvs_eval!L174 = "No clinical inference", 1, 0))</f>
        <v/>
      </c>
      <c r="G114" s="40" t="str">
        <f>IF(ISBLANK(pvs_eval!M174), "", IF(pvs_eval!M174 = "Unsafe, Non-Deducible Inference", 0, 1))</f>
        <v/>
      </c>
      <c r="H114" s="40" t="str">
        <f>IF(ISBLANK(pvs_eval!P174), "", IF(pvs_eval!P174 = "No omission", 1, 0))</f>
        <v/>
      </c>
      <c r="I114" s="40" t="str">
        <f>IF(ISBLANK(pvs_eval!T174), "", IF(pvs_eval!T174 = "No extraneous information", 1, 0))</f>
        <v/>
      </c>
      <c r="J114" s="40" t="str">
        <f>IF(ISBLANK(pvs_eval!X174), "", IF(pvs_eval!X174 = "No flow issues", 1, 0))</f>
        <v/>
      </c>
    </row>
    <row r="115">
      <c r="A115" s="43"/>
      <c r="E115" s="40" t="str">
        <f>IF(ISBLANK(pvs_eval!I175), "", IF(pvs_eval!I175 = "No hallucination", 1, 0))</f>
        <v/>
      </c>
      <c r="F115" s="40" t="str">
        <f>IF(ISBLANK(pvs_eval!L175), "", IF(pvs_eval!L175 = "No clinical inference", 1, 0))</f>
        <v/>
      </c>
      <c r="G115" s="40" t="str">
        <f>IF(ISBLANK(pvs_eval!M175), "", IF(pvs_eval!M175 = "Unsafe, Non-Deducible Inference", 0, 1))</f>
        <v/>
      </c>
      <c r="H115" s="40" t="str">
        <f>IF(ISBLANK(pvs_eval!P175), "", IF(pvs_eval!P175 = "No omission", 1, 0))</f>
        <v/>
      </c>
      <c r="I115" s="40" t="str">
        <f>IF(ISBLANK(pvs_eval!T175), "", IF(pvs_eval!T175 = "No extraneous information", 1, 0))</f>
        <v/>
      </c>
      <c r="J115" s="40" t="str">
        <f>IF(ISBLANK(pvs_eval!X175), "", IF(pvs_eval!X175 = "No flow issues", 1, 0))</f>
        <v/>
      </c>
    </row>
    <row r="116">
      <c r="A116" s="43"/>
      <c r="E116" s="40" t="str">
        <f>IF(ISBLANK(pvs_eval!I176), "", IF(pvs_eval!I176 = "No hallucination", 1, 0))</f>
        <v/>
      </c>
      <c r="F116" s="40" t="str">
        <f>IF(ISBLANK(pvs_eval!L176), "", IF(pvs_eval!L176 = "No clinical inference", 1, 0))</f>
        <v/>
      </c>
      <c r="G116" s="40" t="str">
        <f>IF(ISBLANK(pvs_eval!M176), "", IF(pvs_eval!M176 = "Unsafe, Non-Deducible Inference", 0, 1))</f>
        <v/>
      </c>
      <c r="H116" s="40" t="str">
        <f>IF(ISBLANK(pvs_eval!P176), "", IF(pvs_eval!P176 = "No omission", 1, 0))</f>
        <v/>
      </c>
      <c r="I116" s="40" t="str">
        <f>IF(ISBLANK(pvs_eval!T176), "", IF(pvs_eval!T176 = "No extraneous information", 1, 0))</f>
        <v/>
      </c>
      <c r="J116" s="40" t="str">
        <f>IF(ISBLANK(pvs_eval!X176), "", IF(pvs_eval!X176 = "No flow issues", 1, 0))</f>
        <v/>
      </c>
    </row>
    <row r="117">
      <c r="A117" s="43"/>
      <c r="E117" s="40" t="str">
        <f>IF(ISBLANK(pvs_eval!I177), "", IF(pvs_eval!I177 = "No hallucination", 1, 0))</f>
        <v/>
      </c>
      <c r="F117" s="40" t="str">
        <f>IF(ISBLANK(pvs_eval!L177), "", IF(pvs_eval!L177 = "No clinical inference", 1, 0))</f>
        <v/>
      </c>
      <c r="G117" s="40" t="str">
        <f>IF(ISBLANK(pvs_eval!M177), "", IF(pvs_eval!M177 = "Unsafe, Non-Deducible Inference", 0, 1))</f>
        <v/>
      </c>
      <c r="H117" s="40" t="str">
        <f>IF(ISBLANK(pvs_eval!P177), "", IF(pvs_eval!P177 = "No omission", 1, 0))</f>
        <v/>
      </c>
      <c r="I117" s="40" t="str">
        <f>IF(ISBLANK(pvs_eval!T177), "", IF(pvs_eval!T177 = "No extraneous information", 1, 0))</f>
        <v/>
      </c>
      <c r="J117" s="40" t="str">
        <f>IF(ISBLANK(pvs_eval!X177), "", IF(pvs_eval!X177 = "No flow issues", 1, 0))</f>
        <v/>
      </c>
    </row>
    <row r="118">
      <c r="A118" s="43"/>
      <c r="E118" s="40" t="str">
        <f>IF(ISBLANK(pvs_eval!I178), "", IF(pvs_eval!I178 = "No hallucination", 1, 0))</f>
        <v/>
      </c>
      <c r="F118" s="40" t="str">
        <f>IF(ISBLANK(pvs_eval!L178), "", IF(pvs_eval!L178 = "No clinical inference", 1, 0))</f>
        <v/>
      </c>
      <c r="G118" s="40" t="str">
        <f>IF(ISBLANK(pvs_eval!M178), "", IF(pvs_eval!M178 = "Unsafe, Non-Deducible Inference", 0, 1))</f>
        <v/>
      </c>
      <c r="H118" s="40" t="str">
        <f>IF(ISBLANK(pvs_eval!P178), "", IF(pvs_eval!P178 = "No omission", 1, 0))</f>
        <v/>
      </c>
      <c r="I118" s="40" t="str">
        <f>IF(ISBLANK(pvs_eval!T178), "", IF(pvs_eval!T178 = "No extraneous information", 1, 0))</f>
        <v/>
      </c>
      <c r="J118" s="40" t="str">
        <f>IF(ISBLANK(pvs_eval!X178), "", IF(pvs_eval!X178 = "No flow issues", 1, 0))</f>
        <v/>
      </c>
    </row>
    <row r="119">
      <c r="A119" s="43"/>
      <c r="E119" s="40" t="str">
        <f>IF(ISBLANK(pvs_eval!I179), "", IF(pvs_eval!I179 = "No hallucination", 1, 0))</f>
        <v/>
      </c>
      <c r="F119" s="40" t="str">
        <f>IF(ISBLANK(pvs_eval!L179), "", IF(pvs_eval!L179 = "No clinical inference", 1, 0))</f>
        <v/>
      </c>
      <c r="G119" s="40" t="str">
        <f>IF(ISBLANK(pvs_eval!M179), "", IF(pvs_eval!M179 = "Unsafe, Non-Deducible Inference", 0, 1))</f>
        <v/>
      </c>
      <c r="H119" s="40" t="str">
        <f>IF(ISBLANK(pvs_eval!P179), "", IF(pvs_eval!P179 = "No omission", 1, 0))</f>
        <v/>
      </c>
      <c r="I119" s="40" t="str">
        <f>IF(ISBLANK(pvs_eval!T179), "", IF(pvs_eval!T179 = "No extraneous information", 1, 0))</f>
        <v/>
      </c>
      <c r="J119" s="40" t="str">
        <f>IF(ISBLANK(pvs_eval!X179), "", IF(pvs_eval!X179 = "No flow issues", 1, 0))</f>
        <v/>
      </c>
    </row>
    <row r="120">
      <c r="A120" s="43"/>
      <c r="E120" s="40" t="str">
        <f>IF(ISBLANK(pvs_eval!I180), "", IF(pvs_eval!I180 = "No hallucination", 1, 0))</f>
        <v/>
      </c>
      <c r="F120" s="40" t="str">
        <f>IF(ISBLANK(pvs_eval!L180), "", IF(pvs_eval!L180 = "No clinical inference", 1, 0))</f>
        <v/>
      </c>
      <c r="G120" s="40" t="str">
        <f>IF(ISBLANK(pvs_eval!M180), "", IF(pvs_eval!M180 = "Unsafe, Non-Deducible Inference", 0, 1))</f>
        <v/>
      </c>
      <c r="H120" s="40" t="str">
        <f>IF(ISBLANK(pvs_eval!P180), "", IF(pvs_eval!P180 = "No omission", 1, 0))</f>
        <v/>
      </c>
      <c r="I120" s="40" t="str">
        <f>IF(ISBLANK(pvs_eval!T180), "", IF(pvs_eval!T180 = "No extraneous information", 1, 0))</f>
        <v/>
      </c>
      <c r="J120" s="40" t="str">
        <f>IF(ISBLANK(pvs_eval!X180), "", IF(pvs_eval!X180 = "No flow issues", 1, 0))</f>
        <v/>
      </c>
    </row>
    <row r="121">
      <c r="A121" s="43"/>
      <c r="E121" s="40" t="str">
        <f>IF(ISBLANK(pvs_eval!I181), "", IF(pvs_eval!I181 = "No hallucination", 1, 0))</f>
        <v/>
      </c>
      <c r="F121" s="40" t="str">
        <f>IF(ISBLANK(pvs_eval!L181), "", IF(pvs_eval!L181 = "No clinical inference", 1, 0))</f>
        <v/>
      </c>
      <c r="G121" s="40" t="str">
        <f>IF(ISBLANK(pvs_eval!M181), "", IF(pvs_eval!M181 = "Unsafe, Non-Deducible Inference", 0, 1))</f>
        <v/>
      </c>
      <c r="H121" s="40" t="str">
        <f>IF(ISBLANK(pvs_eval!P181), "", IF(pvs_eval!P181 = "No omission", 1, 0))</f>
        <v/>
      </c>
      <c r="I121" s="40" t="str">
        <f>IF(ISBLANK(pvs_eval!T181), "", IF(pvs_eval!T181 = "No extraneous information", 1, 0))</f>
        <v/>
      </c>
      <c r="J121" s="40" t="str">
        <f>IF(ISBLANK(pvs_eval!X181), "", IF(pvs_eval!X181 = "No flow issues", 1, 0))</f>
        <v/>
      </c>
    </row>
    <row r="122">
      <c r="A122" s="43"/>
      <c r="E122" s="40" t="str">
        <f>IF(ISBLANK(pvs_eval!I182), "", IF(pvs_eval!I182 = "No hallucination", 1, 0))</f>
        <v/>
      </c>
      <c r="F122" s="40" t="str">
        <f>IF(ISBLANK(pvs_eval!L182), "", IF(pvs_eval!L182 = "No clinical inference", 1, 0))</f>
        <v/>
      </c>
      <c r="G122" s="40" t="str">
        <f>IF(ISBLANK(pvs_eval!M182), "", IF(pvs_eval!M182 = "Unsafe, Non-Deducible Inference", 0, 1))</f>
        <v/>
      </c>
      <c r="H122" s="40" t="str">
        <f>IF(ISBLANK(pvs_eval!P182), "", IF(pvs_eval!P182 = "No omission", 1, 0))</f>
        <v/>
      </c>
      <c r="I122" s="40" t="str">
        <f>IF(ISBLANK(pvs_eval!T182), "", IF(pvs_eval!T182 = "No extraneous information", 1, 0))</f>
        <v/>
      </c>
      <c r="J122" s="40" t="str">
        <f>IF(ISBLANK(pvs_eval!X182), "", IF(pvs_eval!X182 = "No flow issues", 1, 0))</f>
        <v/>
      </c>
    </row>
    <row r="123">
      <c r="A123" s="43"/>
      <c r="E123" s="40" t="str">
        <f>IF(ISBLANK(pvs_eval!I183), "", IF(pvs_eval!I183 = "No hallucination", 1, 0))</f>
        <v/>
      </c>
      <c r="F123" s="40" t="str">
        <f>IF(ISBLANK(pvs_eval!L183), "", IF(pvs_eval!L183 = "No clinical inference", 1, 0))</f>
        <v/>
      </c>
      <c r="G123" s="40" t="str">
        <f>IF(ISBLANK(pvs_eval!M183), "", IF(pvs_eval!M183 = "Unsafe, Non-Deducible Inference", 0, 1))</f>
        <v/>
      </c>
      <c r="H123" s="40" t="str">
        <f>IF(ISBLANK(pvs_eval!P183), "", IF(pvs_eval!P183 = "No omission", 1, 0))</f>
        <v/>
      </c>
      <c r="I123" s="40" t="str">
        <f>IF(ISBLANK(pvs_eval!T183), "", IF(pvs_eval!T183 = "No extraneous information", 1, 0))</f>
        <v/>
      </c>
      <c r="J123" s="40" t="str">
        <f>IF(ISBLANK(pvs_eval!X183), "", IF(pvs_eval!X183 = "No flow issues", 1, 0))</f>
        <v/>
      </c>
    </row>
    <row r="124">
      <c r="A124" s="43"/>
      <c r="E124" s="40" t="str">
        <f>IF(ISBLANK(pvs_eval!I184), "", IF(pvs_eval!I184 = "No hallucination", 1, 0))</f>
        <v/>
      </c>
      <c r="F124" s="40" t="str">
        <f>IF(ISBLANK(pvs_eval!L184), "", IF(pvs_eval!L184 = "No clinical inference", 1, 0))</f>
        <v/>
      </c>
      <c r="G124" s="40" t="str">
        <f>IF(ISBLANK(pvs_eval!M184), "", IF(pvs_eval!M184 = "Unsafe, Non-Deducible Inference", 0, 1))</f>
        <v/>
      </c>
      <c r="H124" s="40" t="str">
        <f>IF(ISBLANK(pvs_eval!P184), "", IF(pvs_eval!P184 = "No omission", 1, 0))</f>
        <v/>
      </c>
      <c r="I124" s="40" t="str">
        <f>IF(ISBLANK(pvs_eval!T184), "", IF(pvs_eval!T184 = "No extraneous information", 1, 0))</f>
        <v/>
      </c>
      <c r="J124" s="40" t="str">
        <f>IF(ISBLANK(pvs_eval!X184), "", IF(pvs_eval!X184 = "No flow issues", 1, 0))</f>
        <v/>
      </c>
    </row>
    <row r="125">
      <c r="A125" s="43"/>
      <c r="E125" s="40" t="str">
        <f>IF(ISBLANK(pvs_eval!I185), "", IF(pvs_eval!I185 = "No hallucination", 1, 0))</f>
        <v/>
      </c>
      <c r="F125" s="40" t="str">
        <f>IF(ISBLANK(pvs_eval!L185), "", IF(pvs_eval!L185 = "No clinical inference", 1, 0))</f>
        <v/>
      </c>
      <c r="G125" s="40" t="str">
        <f>IF(ISBLANK(pvs_eval!M185), "", IF(pvs_eval!M185 = "Unsafe, Non-Deducible Inference", 0, 1))</f>
        <v/>
      </c>
      <c r="H125" s="40" t="str">
        <f>IF(ISBLANK(pvs_eval!P185), "", IF(pvs_eval!P185 = "No omission", 1, 0))</f>
        <v/>
      </c>
      <c r="I125" s="40" t="str">
        <f>IF(ISBLANK(pvs_eval!T185), "", IF(pvs_eval!T185 = "No extraneous information", 1, 0))</f>
        <v/>
      </c>
      <c r="J125" s="40" t="str">
        <f>IF(ISBLANK(pvs_eval!X185), "", IF(pvs_eval!X185 = "No flow issues", 1, 0))</f>
        <v/>
      </c>
    </row>
    <row r="126">
      <c r="A126" s="43"/>
      <c r="E126" s="40" t="str">
        <f>IF(ISBLANK(pvs_eval!I186), "", IF(pvs_eval!I186 = "No hallucination", 1, 0))</f>
        <v/>
      </c>
      <c r="F126" s="40" t="str">
        <f>IF(ISBLANK(pvs_eval!L186), "", IF(pvs_eval!L186 = "No clinical inference", 1, 0))</f>
        <v/>
      </c>
      <c r="G126" s="40" t="str">
        <f>IF(ISBLANK(pvs_eval!M186), "", IF(pvs_eval!M186 = "Unsafe, Non-Deducible Inference", 0, 1))</f>
        <v/>
      </c>
      <c r="H126" s="40" t="str">
        <f>IF(ISBLANK(pvs_eval!P186), "", IF(pvs_eval!P186 = "No omission", 1, 0))</f>
        <v/>
      </c>
      <c r="I126" s="40" t="str">
        <f>IF(ISBLANK(pvs_eval!T186), "", IF(pvs_eval!T186 = "No extraneous information", 1, 0))</f>
        <v/>
      </c>
      <c r="J126" s="40" t="str">
        <f>IF(ISBLANK(pvs_eval!X186), "", IF(pvs_eval!X186 = "No flow issues", 1, 0))</f>
        <v/>
      </c>
    </row>
    <row r="127">
      <c r="A127" s="43"/>
      <c r="E127" s="40" t="str">
        <f>IF(ISBLANK(pvs_eval!I187), "", IF(pvs_eval!I187 = "No hallucination", 1, 0))</f>
        <v/>
      </c>
      <c r="F127" s="40" t="str">
        <f>IF(ISBLANK(pvs_eval!L187), "", IF(pvs_eval!L187 = "No clinical inference", 1, 0))</f>
        <v/>
      </c>
      <c r="G127" s="40" t="str">
        <f>IF(ISBLANK(pvs_eval!M187), "", IF(pvs_eval!M187 = "Unsafe, Non-Deducible Inference", 0, 1))</f>
        <v/>
      </c>
      <c r="H127" s="40" t="str">
        <f>IF(ISBLANK(pvs_eval!P187), "", IF(pvs_eval!P187 = "No omission", 1, 0))</f>
        <v/>
      </c>
      <c r="I127" s="40" t="str">
        <f>IF(ISBLANK(pvs_eval!T187), "", IF(pvs_eval!T187 = "No extraneous information", 1, 0))</f>
        <v/>
      </c>
      <c r="J127" s="40" t="str">
        <f>IF(ISBLANK(pvs_eval!X187), "", IF(pvs_eval!X187 = "No flow issues", 1, 0))</f>
        <v/>
      </c>
    </row>
    <row r="128">
      <c r="A128" s="43"/>
      <c r="E128" s="40" t="str">
        <f>IF(ISBLANK(pvs_eval!I188), "", IF(pvs_eval!I188 = "No hallucination", 1, 0))</f>
        <v/>
      </c>
      <c r="F128" s="40" t="str">
        <f>IF(ISBLANK(pvs_eval!L188), "", IF(pvs_eval!L188 = "No clinical inference", 1, 0))</f>
        <v/>
      </c>
      <c r="G128" s="40" t="str">
        <f>IF(ISBLANK(pvs_eval!M188), "", IF(pvs_eval!M188 = "Unsafe, Non-Deducible Inference", 0, 1))</f>
        <v/>
      </c>
      <c r="H128" s="40" t="str">
        <f>IF(ISBLANK(pvs_eval!P188), "", IF(pvs_eval!P188 = "No omission", 1, 0))</f>
        <v/>
      </c>
      <c r="I128" s="40" t="str">
        <f>IF(ISBLANK(pvs_eval!T188), "", IF(pvs_eval!T188 = "No extraneous information", 1, 0))</f>
        <v/>
      </c>
      <c r="J128" s="40" t="str">
        <f>IF(ISBLANK(pvs_eval!X188), "", IF(pvs_eval!X188 = "No flow issues", 1, 0))</f>
        <v/>
      </c>
    </row>
    <row r="129">
      <c r="A129" s="43"/>
      <c r="E129" s="40" t="str">
        <f>IF(ISBLANK(pvs_eval!I189), "", IF(pvs_eval!I189 = "No hallucination", 1, 0))</f>
        <v/>
      </c>
      <c r="F129" s="40" t="str">
        <f>IF(ISBLANK(pvs_eval!L189), "", IF(pvs_eval!L189 = "No clinical inference", 1, 0))</f>
        <v/>
      </c>
      <c r="G129" s="40" t="str">
        <f>IF(ISBLANK(pvs_eval!M189), "", IF(pvs_eval!M189 = "Unsafe, Non-Deducible Inference", 0, 1))</f>
        <v/>
      </c>
      <c r="H129" s="40" t="str">
        <f>IF(ISBLANK(pvs_eval!P189), "", IF(pvs_eval!P189 = "No omission", 1, 0))</f>
        <v/>
      </c>
      <c r="I129" s="40" t="str">
        <f>IF(ISBLANK(pvs_eval!T189), "", IF(pvs_eval!T189 = "No extraneous information", 1, 0))</f>
        <v/>
      </c>
      <c r="J129" s="40" t="str">
        <f>IF(ISBLANK(pvs_eval!X189), "", IF(pvs_eval!X189 = "No flow issues", 1, 0))</f>
        <v/>
      </c>
    </row>
    <row r="130">
      <c r="A130" s="43"/>
      <c r="E130" s="40" t="str">
        <f>IF(ISBLANK(pvs_eval!I190), "", IF(pvs_eval!I190 = "No hallucination", 1, 0))</f>
        <v/>
      </c>
      <c r="F130" s="40" t="str">
        <f>IF(ISBLANK(pvs_eval!L190), "", IF(pvs_eval!L190 = "No clinical inference", 1, 0))</f>
        <v/>
      </c>
      <c r="G130" s="40" t="str">
        <f>IF(ISBLANK(pvs_eval!M190), "", IF(pvs_eval!M190 = "Unsafe, Non-Deducible Inference", 0, 1))</f>
        <v/>
      </c>
      <c r="H130" s="40" t="str">
        <f>IF(ISBLANK(pvs_eval!P190), "", IF(pvs_eval!P190 = "No omission", 1, 0))</f>
        <v/>
      </c>
      <c r="I130" s="40" t="str">
        <f>IF(ISBLANK(pvs_eval!T190), "", IF(pvs_eval!T190 = "No extraneous information", 1, 0))</f>
        <v/>
      </c>
      <c r="J130" s="40" t="str">
        <f>IF(ISBLANK(pvs_eval!X190), "", IF(pvs_eval!X190 = "No flow issues", 1, 0))</f>
        <v/>
      </c>
    </row>
    <row r="131">
      <c r="A131" s="43"/>
      <c r="E131" s="40" t="str">
        <f>IF(ISBLANK(pvs_eval!I191), "", IF(pvs_eval!I191 = "No hallucination", 1, 0))</f>
        <v/>
      </c>
      <c r="F131" s="40" t="str">
        <f>IF(ISBLANK(pvs_eval!L191), "", IF(pvs_eval!L191 = "No clinical inference", 1, 0))</f>
        <v/>
      </c>
      <c r="G131" s="40" t="str">
        <f>IF(ISBLANK(pvs_eval!M191), "", IF(pvs_eval!M191 = "Unsafe, Non-Deducible Inference", 0, 1))</f>
        <v/>
      </c>
      <c r="H131" s="40" t="str">
        <f>IF(ISBLANK(pvs_eval!P191), "", IF(pvs_eval!P191 = "No omission", 1, 0))</f>
        <v/>
      </c>
      <c r="I131" s="40" t="str">
        <f>IF(ISBLANK(pvs_eval!T191), "", IF(pvs_eval!T191 = "No extraneous information", 1, 0))</f>
        <v/>
      </c>
      <c r="J131" s="40" t="str">
        <f>IF(ISBLANK(pvs_eval!X191), "", IF(pvs_eval!X191 = "No flow issues", 1, 0))</f>
        <v/>
      </c>
    </row>
    <row r="132">
      <c r="A132" s="43"/>
      <c r="E132" s="40" t="str">
        <f>IF(ISBLANK(pvs_eval!I192), "", IF(pvs_eval!I192 = "No hallucination", 1, 0))</f>
        <v/>
      </c>
      <c r="F132" s="40" t="str">
        <f>IF(ISBLANK(pvs_eval!L192), "", IF(pvs_eval!L192 = "No clinical inference", 1, 0))</f>
        <v/>
      </c>
      <c r="G132" s="40" t="str">
        <f>IF(ISBLANK(pvs_eval!M192), "", IF(pvs_eval!M192 = "Unsafe, Non-Deducible Inference", 0, 1))</f>
        <v/>
      </c>
      <c r="H132" s="40" t="str">
        <f>IF(ISBLANK(pvs_eval!P192), "", IF(pvs_eval!P192 = "No omission", 1, 0))</f>
        <v/>
      </c>
      <c r="I132" s="40" t="str">
        <f>IF(ISBLANK(pvs_eval!T192), "", IF(pvs_eval!T192 = "No extraneous information", 1, 0))</f>
        <v/>
      </c>
      <c r="J132" s="40" t="str">
        <f>IF(ISBLANK(pvs_eval!X192), "", IF(pvs_eval!X192 = "No flow issues", 1, 0))</f>
        <v/>
      </c>
    </row>
    <row r="133">
      <c r="A133" s="43"/>
      <c r="E133" s="40" t="str">
        <f>IF(ISBLANK(pvs_eval!I193), "", IF(pvs_eval!I193 = "No hallucination", 1, 0))</f>
        <v/>
      </c>
      <c r="F133" s="40" t="str">
        <f>IF(ISBLANK(pvs_eval!L193), "", IF(pvs_eval!L193 = "No clinical inference", 1, 0))</f>
        <v/>
      </c>
      <c r="G133" s="40" t="str">
        <f>IF(ISBLANK(pvs_eval!M193), "", IF(pvs_eval!M193 = "Unsafe, Non-Deducible Inference", 0, 1))</f>
        <v/>
      </c>
      <c r="H133" s="40" t="str">
        <f>IF(ISBLANK(pvs_eval!P193), "", IF(pvs_eval!P193 = "No omission", 1, 0))</f>
        <v/>
      </c>
      <c r="I133" s="40" t="str">
        <f>IF(ISBLANK(pvs_eval!T193), "", IF(pvs_eval!T193 = "No extraneous information", 1, 0))</f>
        <v/>
      </c>
      <c r="J133" s="40" t="str">
        <f>IF(ISBLANK(pvs_eval!X193), "", IF(pvs_eval!X193 = "No flow issues", 1, 0))</f>
        <v/>
      </c>
    </row>
    <row r="134">
      <c r="A134" s="43"/>
      <c r="E134" s="40" t="str">
        <f>IF(ISBLANK(pvs_eval!I194), "", IF(pvs_eval!I194 = "No hallucination", 1, 0))</f>
        <v/>
      </c>
      <c r="F134" s="40" t="str">
        <f>IF(ISBLANK(pvs_eval!L194), "", IF(pvs_eval!L194 = "No clinical inference", 1, 0))</f>
        <v/>
      </c>
      <c r="G134" s="40" t="str">
        <f>IF(ISBLANK(pvs_eval!M194), "", IF(pvs_eval!M194 = "Unsafe, Non-Deducible Inference", 0, 1))</f>
        <v/>
      </c>
      <c r="H134" s="40" t="str">
        <f>IF(ISBLANK(pvs_eval!P194), "", IF(pvs_eval!P194 = "No omission", 1, 0))</f>
        <v/>
      </c>
      <c r="I134" s="40" t="str">
        <f>IF(ISBLANK(pvs_eval!T194), "", IF(pvs_eval!T194 = "No extraneous information", 1, 0))</f>
        <v/>
      </c>
      <c r="J134" s="40" t="str">
        <f>IF(ISBLANK(pvs_eval!X194), "", IF(pvs_eval!X194 = "No flow issues", 1, 0))</f>
        <v/>
      </c>
    </row>
    <row r="135">
      <c r="A135" s="43"/>
      <c r="E135" s="40" t="str">
        <f>IF(ISBLANK(pvs_eval!I195), "", IF(pvs_eval!I195 = "No hallucination", 1, 0))</f>
        <v/>
      </c>
      <c r="F135" s="40" t="str">
        <f>IF(ISBLANK(pvs_eval!L195), "", IF(pvs_eval!L195 = "No clinical inference", 1, 0))</f>
        <v/>
      </c>
      <c r="G135" s="40" t="str">
        <f>IF(ISBLANK(pvs_eval!M195), "", IF(pvs_eval!M195 = "Unsafe, Non-Deducible Inference", 0, 1))</f>
        <v/>
      </c>
      <c r="H135" s="40" t="str">
        <f>IF(ISBLANK(pvs_eval!P195), "", IF(pvs_eval!P195 = "No omission", 1, 0))</f>
        <v/>
      </c>
      <c r="I135" s="40" t="str">
        <f>IF(ISBLANK(pvs_eval!T195), "", IF(pvs_eval!T195 = "No extraneous information", 1, 0))</f>
        <v/>
      </c>
      <c r="J135" s="40" t="str">
        <f>IF(ISBLANK(pvs_eval!X195), "", IF(pvs_eval!X195 = "No flow issues", 1, 0))</f>
        <v/>
      </c>
    </row>
    <row r="136">
      <c r="A136" s="43"/>
      <c r="E136" s="40" t="str">
        <f>IF(ISBLANK(pvs_eval!I196), "", IF(pvs_eval!I196 = "No hallucination", 1, 0))</f>
        <v/>
      </c>
      <c r="F136" s="40" t="str">
        <f>IF(ISBLANK(pvs_eval!L196), "", IF(pvs_eval!L196 = "No clinical inference", 1, 0))</f>
        <v/>
      </c>
      <c r="G136" s="40" t="str">
        <f>IF(ISBLANK(pvs_eval!M196), "", IF(pvs_eval!M196 = "Unsafe, Non-Deducible Inference", 0, 1))</f>
        <v/>
      </c>
      <c r="H136" s="40" t="str">
        <f>IF(ISBLANK(pvs_eval!P196), "", IF(pvs_eval!P196 = "No omission", 1, 0))</f>
        <v/>
      </c>
      <c r="I136" s="40" t="str">
        <f>IF(ISBLANK(pvs_eval!T196), "", IF(pvs_eval!T196 = "No extraneous information", 1, 0))</f>
        <v/>
      </c>
      <c r="J136" s="40" t="str">
        <f>IF(ISBLANK(pvs_eval!X196), "", IF(pvs_eval!X196 = "No flow issues", 1, 0))</f>
        <v/>
      </c>
    </row>
    <row r="137">
      <c r="A137" s="43"/>
      <c r="E137" s="40" t="str">
        <f>IF(ISBLANK(pvs_eval!I197), "", IF(pvs_eval!I197 = "No hallucination", 1, 0))</f>
        <v/>
      </c>
      <c r="F137" s="40" t="str">
        <f>IF(ISBLANK(pvs_eval!L197), "", IF(pvs_eval!L197 = "No clinical inference", 1, 0))</f>
        <v/>
      </c>
      <c r="G137" s="40" t="str">
        <f>IF(ISBLANK(pvs_eval!M197), "", IF(pvs_eval!M197 = "Unsafe, Non-Deducible Inference", 0, 1))</f>
        <v/>
      </c>
      <c r="H137" s="40" t="str">
        <f>IF(ISBLANK(pvs_eval!P197), "", IF(pvs_eval!P197 = "No omission", 1, 0))</f>
        <v/>
      </c>
      <c r="I137" s="40" t="str">
        <f>IF(ISBLANK(pvs_eval!T197), "", IF(pvs_eval!T197 = "No extraneous information", 1, 0))</f>
        <v/>
      </c>
      <c r="J137" s="40" t="str">
        <f>IF(ISBLANK(pvs_eval!X197), "", IF(pvs_eval!X197 = "No flow issues", 1, 0))</f>
        <v/>
      </c>
    </row>
    <row r="138">
      <c r="A138" s="43"/>
      <c r="E138" s="40" t="str">
        <f>IF(ISBLANK(pvs_eval!I198), "", IF(pvs_eval!I198 = "No hallucination", 1, 0))</f>
        <v/>
      </c>
      <c r="F138" s="40" t="str">
        <f>IF(ISBLANK(pvs_eval!L198), "", IF(pvs_eval!L198 = "No clinical inference", 1, 0))</f>
        <v/>
      </c>
      <c r="G138" s="40" t="str">
        <f>IF(ISBLANK(pvs_eval!M198), "", IF(pvs_eval!M198 = "Unsafe, Non-Deducible Inference", 0, 1))</f>
        <v/>
      </c>
      <c r="H138" s="40" t="str">
        <f>IF(ISBLANK(pvs_eval!P198), "", IF(pvs_eval!P198 = "No omission", 1, 0))</f>
        <v/>
      </c>
      <c r="I138" s="40" t="str">
        <f>IF(ISBLANK(pvs_eval!T198), "", IF(pvs_eval!T198 = "No extraneous information", 1, 0))</f>
        <v/>
      </c>
      <c r="J138" s="40" t="str">
        <f>IF(ISBLANK(pvs_eval!X198), "", IF(pvs_eval!X198 = "No flow issues", 1, 0))</f>
        <v/>
      </c>
    </row>
    <row r="139">
      <c r="A139" s="43"/>
      <c r="E139" s="40" t="str">
        <f>IF(ISBLANK(pvs_eval!I199), "", IF(pvs_eval!I199 = "No hallucination", 1, 0))</f>
        <v/>
      </c>
      <c r="F139" s="40" t="str">
        <f>IF(ISBLANK(pvs_eval!L199), "", IF(pvs_eval!L199 = "No clinical inference", 1, 0))</f>
        <v/>
      </c>
      <c r="G139" s="40" t="str">
        <f>IF(ISBLANK(pvs_eval!M199), "", IF(pvs_eval!M199 = "Unsafe, Non-Deducible Inference", 0, 1))</f>
        <v/>
      </c>
      <c r="H139" s="40" t="str">
        <f>IF(ISBLANK(pvs_eval!P199), "", IF(pvs_eval!P199 = "No omission", 1, 0))</f>
        <v/>
      </c>
      <c r="I139" s="40" t="str">
        <f>IF(ISBLANK(pvs_eval!T199), "", IF(pvs_eval!T199 = "No extraneous information", 1, 0))</f>
        <v/>
      </c>
      <c r="J139" s="40" t="str">
        <f>IF(ISBLANK(pvs_eval!X199), "", IF(pvs_eval!X199 = "No flow issues", 1, 0))</f>
        <v/>
      </c>
    </row>
    <row r="140">
      <c r="A140" s="43"/>
      <c r="E140" s="40" t="str">
        <f>IF(ISBLANK(pvs_eval!I200), "", IF(pvs_eval!I200 = "No hallucination", 1, 0))</f>
        <v/>
      </c>
      <c r="F140" s="40" t="str">
        <f>IF(ISBLANK(pvs_eval!L200), "", IF(pvs_eval!L200 = "No clinical inference", 1, 0))</f>
        <v/>
      </c>
      <c r="G140" s="40" t="str">
        <f>IF(ISBLANK(pvs_eval!M200), "", IF(pvs_eval!M200 = "Unsafe, Non-Deducible Inference", 0, 1))</f>
        <v/>
      </c>
      <c r="H140" s="40" t="str">
        <f>IF(ISBLANK(pvs_eval!P200), "", IF(pvs_eval!P200 = "No omission", 1, 0))</f>
        <v/>
      </c>
      <c r="I140" s="40" t="str">
        <f>IF(ISBLANK(pvs_eval!T200), "", IF(pvs_eval!T200 = "No extraneous information", 1, 0))</f>
        <v/>
      </c>
      <c r="J140" s="40" t="str">
        <f>IF(ISBLANK(pvs_eval!X200), "", IF(pvs_eval!X200 = "No flow issues", 1, 0))</f>
        <v/>
      </c>
    </row>
    <row r="141">
      <c r="A141" s="43"/>
      <c r="E141" s="40" t="str">
        <f>IF(ISBLANK(pvs_eval!I201), "", IF(pvs_eval!I201 = "No hallucination", 1, 0))</f>
        <v/>
      </c>
      <c r="F141" s="40" t="str">
        <f>IF(ISBLANK(pvs_eval!L201), "", IF(pvs_eval!L201 = "No clinical inference", 1, 0))</f>
        <v/>
      </c>
      <c r="G141" s="40" t="str">
        <f>IF(ISBLANK(pvs_eval!M201), "", IF(pvs_eval!M201 = "Unsafe, Non-Deducible Inference", 0, 1))</f>
        <v/>
      </c>
      <c r="H141" s="40" t="str">
        <f>IF(ISBLANK(pvs_eval!P201), "", IF(pvs_eval!P201 = "No omission", 1, 0))</f>
        <v/>
      </c>
      <c r="I141" s="40" t="str">
        <f>IF(ISBLANK(pvs_eval!T201), "", IF(pvs_eval!T201 = "No extraneous information", 1, 0))</f>
        <v/>
      </c>
      <c r="J141" s="40" t="str">
        <f>IF(ISBLANK(pvs_eval!X201), "", IF(pvs_eval!X201 = "No flow issues", 1, 0))</f>
        <v/>
      </c>
    </row>
    <row r="142">
      <c r="A142" s="43"/>
      <c r="E142" s="40" t="str">
        <f>IF(ISBLANK(pvs_eval!I202), "", IF(pvs_eval!I202 = "No hallucination", 1, 0))</f>
        <v/>
      </c>
      <c r="F142" s="40" t="str">
        <f>IF(ISBLANK(pvs_eval!L202), "", IF(pvs_eval!L202 = "No clinical inference", 1, 0))</f>
        <v/>
      </c>
      <c r="G142" s="40" t="str">
        <f>IF(ISBLANK(pvs_eval!M202), "", IF(pvs_eval!M202 = "Unsafe, Non-Deducible Inference", 0, 1))</f>
        <v/>
      </c>
      <c r="H142" s="40" t="str">
        <f>IF(ISBLANK(pvs_eval!P202), "", IF(pvs_eval!P202 = "No omission", 1, 0))</f>
        <v/>
      </c>
      <c r="I142" s="40" t="str">
        <f>IF(ISBLANK(pvs_eval!T202), "", IF(pvs_eval!T202 = "No extraneous information", 1, 0))</f>
        <v/>
      </c>
      <c r="J142" s="40" t="str">
        <f>IF(ISBLANK(pvs_eval!X202), "", IF(pvs_eval!X202 = "No flow issues", 1, 0))</f>
        <v/>
      </c>
    </row>
    <row r="143">
      <c r="A143" s="43"/>
      <c r="E143" s="40" t="str">
        <f>IF(ISBLANK(pvs_eval!I203), "", IF(pvs_eval!I203 = "No hallucination", 1, 0))</f>
        <v/>
      </c>
      <c r="F143" s="40" t="str">
        <f>IF(ISBLANK(pvs_eval!L203), "", IF(pvs_eval!L203 = "No clinical inference", 1, 0))</f>
        <v/>
      </c>
      <c r="G143" s="40" t="str">
        <f>IF(ISBLANK(pvs_eval!M203), "", IF(pvs_eval!M203 = "Unsafe, Non-Deducible Inference", 0, 1))</f>
        <v/>
      </c>
      <c r="H143" s="40" t="str">
        <f>IF(ISBLANK(pvs_eval!P203), "", IF(pvs_eval!P203 = "No omission", 1, 0))</f>
        <v/>
      </c>
      <c r="I143" s="40" t="str">
        <f>IF(ISBLANK(pvs_eval!T203), "", IF(pvs_eval!T203 = "No extraneous information", 1, 0))</f>
        <v/>
      </c>
      <c r="J143" s="40" t="str">
        <f>IF(ISBLANK(pvs_eval!X203), "", IF(pvs_eval!X203 = "No flow issues", 1, 0))</f>
        <v/>
      </c>
    </row>
    <row r="144">
      <c r="A144" s="43"/>
      <c r="E144" s="40" t="str">
        <f>IF(ISBLANK(pvs_eval!I204), "", IF(pvs_eval!I204 = "No hallucination", 1, 0))</f>
        <v/>
      </c>
      <c r="F144" s="40" t="str">
        <f>IF(ISBLANK(pvs_eval!L204), "", IF(pvs_eval!L204 = "No clinical inference", 1, 0))</f>
        <v/>
      </c>
      <c r="G144" s="40" t="str">
        <f>IF(ISBLANK(pvs_eval!M204), "", IF(pvs_eval!M204 = "Unsafe, Non-Deducible Inference", 0, 1))</f>
        <v/>
      </c>
      <c r="H144" s="40" t="str">
        <f>IF(ISBLANK(pvs_eval!P204), "", IF(pvs_eval!P204 = "No omission", 1, 0))</f>
        <v/>
      </c>
      <c r="I144" s="40" t="str">
        <f>IF(ISBLANK(pvs_eval!T204), "", IF(pvs_eval!T204 = "No extraneous information", 1, 0))</f>
        <v/>
      </c>
      <c r="J144" s="40" t="str">
        <f>IF(ISBLANK(pvs_eval!X204), "", IF(pvs_eval!X204 = "No flow issues", 1, 0))</f>
        <v/>
      </c>
    </row>
    <row r="145">
      <c r="A145" s="43"/>
      <c r="E145" s="40" t="str">
        <f>IF(ISBLANK(pvs_eval!I205), "", IF(pvs_eval!I205 = "No hallucination", 1, 0))</f>
        <v/>
      </c>
      <c r="F145" s="40" t="str">
        <f>IF(ISBLANK(pvs_eval!L205), "", IF(pvs_eval!L205 = "No clinical inference", 1, 0))</f>
        <v/>
      </c>
      <c r="G145" s="40" t="str">
        <f>IF(ISBLANK(pvs_eval!M205), "", IF(pvs_eval!M205 = "Unsafe, Non-Deducible Inference", 0, 1))</f>
        <v/>
      </c>
      <c r="H145" s="40" t="str">
        <f>IF(ISBLANK(pvs_eval!P205), "", IF(pvs_eval!P205 = "No omission", 1, 0))</f>
        <v/>
      </c>
      <c r="I145" s="40" t="str">
        <f>IF(ISBLANK(pvs_eval!T205), "", IF(pvs_eval!T205 = "No extraneous information", 1, 0))</f>
        <v/>
      </c>
      <c r="J145" s="40" t="str">
        <f>IF(ISBLANK(pvs_eval!X205), "", IF(pvs_eval!X205 = "No flow issues", 1, 0))</f>
        <v/>
      </c>
    </row>
    <row r="146">
      <c r="A146" s="43"/>
      <c r="E146" s="40" t="str">
        <f>IF(ISBLANK(pvs_eval!I206), "", IF(pvs_eval!I206 = "No hallucination", 1, 0))</f>
        <v/>
      </c>
      <c r="F146" s="40" t="str">
        <f>IF(ISBLANK(pvs_eval!L206), "", IF(pvs_eval!L206 = "No clinical inference", 1, 0))</f>
        <v/>
      </c>
      <c r="G146" s="40" t="str">
        <f>IF(ISBLANK(pvs_eval!M206), "", IF(pvs_eval!M206 = "Unsafe, Non-Deducible Inference", 0, 1))</f>
        <v/>
      </c>
      <c r="H146" s="40" t="str">
        <f>IF(ISBLANK(pvs_eval!P206), "", IF(pvs_eval!P206 = "No omission", 1, 0))</f>
        <v/>
      </c>
      <c r="I146" s="40" t="str">
        <f>IF(ISBLANK(pvs_eval!T206), "", IF(pvs_eval!T206 = "No extraneous information", 1, 0))</f>
        <v/>
      </c>
      <c r="J146" s="40" t="str">
        <f>IF(ISBLANK(pvs_eval!X206), "", IF(pvs_eval!X206 = "No flow issues", 1, 0))</f>
        <v/>
      </c>
    </row>
    <row r="147">
      <c r="A147" s="43"/>
      <c r="E147" s="40" t="str">
        <f>IF(ISBLANK(pvs_eval!I207), "", IF(pvs_eval!I207 = "No hallucination", 1, 0))</f>
        <v/>
      </c>
      <c r="F147" s="40" t="str">
        <f>IF(ISBLANK(pvs_eval!L207), "", IF(pvs_eval!L207 = "No clinical inference", 1, 0))</f>
        <v/>
      </c>
      <c r="G147" s="40" t="str">
        <f>IF(ISBLANK(pvs_eval!M207), "", IF(pvs_eval!M207 = "Unsafe, Non-Deducible Inference", 0, 1))</f>
        <v/>
      </c>
      <c r="H147" s="40" t="str">
        <f>IF(ISBLANK(pvs_eval!P207), "", IF(pvs_eval!P207 = "No omission", 1, 0))</f>
        <v/>
      </c>
      <c r="I147" s="40" t="str">
        <f>IF(ISBLANK(pvs_eval!T207), "", IF(pvs_eval!T207 = "No extraneous information", 1, 0))</f>
        <v/>
      </c>
      <c r="J147" s="40" t="str">
        <f>IF(ISBLANK(pvs_eval!X207), "", IF(pvs_eval!X207 = "No flow issues", 1, 0))</f>
        <v/>
      </c>
    </row>
    <row r="148">
      <c r="A148" s="43"/>
      <c r="E148" s="40" t="str">
        <f>IF(ISBLANK(pvs_eval!I208), "", IF(pvs_eval!I208 = "No hallucination", 1, 0))</f>
        <v/>
      </c>
      <c r="F148" s="40" t="str">
        <f>IF(ISBLANK(pvs_eval!L208), "", IF(pvs_eval!L208 = "No clinical inference", 1, 0))</f>
        <v/>
      </c>
      <c r="G148" s="40" t="str">
        <f>IF(ISBLANK(pvs_eval!M208), "", IF(pvs_eval!M208 = "Unsafe, Non-Deducible Inference", 0, 1))</f>
        <v/>
      </c>
      <c r="H148" s="40" t="str">
        <f>IF(ISBLANK(pvs_eval!P208), "", IF(pvs_eval!P208 = "No omission", 1, 0))</f>
        <v/>
      </c>
      <c r="I148" s="40" t="str">
        <f>IF(ISBLANK(pvs_eval!T208), "", IF(pvs_eval!T208 = "No extraneous information", 1, 0))</f>
        <v/>
      </c>
      <c r="J148" s="40" t="str">
        <f>IF(ISBLANK(pvs_eval!X208), "", IF(pvs_eval!X208 = "No flow issues", 1, 0))</f>
        <v/>
      </c>
    </row>
    <row r="149">
      <c r="A149" s="43"/>
      <c r="E149" s="40" t="str">
        <f>IF(ISBLANK(pvs_eval!I209), "", IF(pvs_eval!I209 = "No hallucination", 1, 0))</f>
        <v/>
      </c>
      <c r="F149" s="40" t="str">
        <f>IF(ISBLANK(pvs_eval!L209), "", IF(pvs_eval!L209 = "No clinical inference", 1, 0))</f>
        <v/>
      </c>
      <c r="G149" s="40" t="str">
        <f>IF(ISBLANK(pvs_eval!M209), "", IF(pvs_eval!M209 = "Unsafe, Non-Deducible Inference", 0, 1))</f>
        <v/>
      </c>
      <c r="H149" s="40" t="str">
        <f>IF(ISBLANK(pvs_eval!P209), "", IF(pvs_eval!P209 = "No omission", 1, 0))</f>
        <v/>
      </c>
      <c r="I149" s="40" t="str">
        <f>IF(ISBLANK(pvs_eval!T209), "", IF(pvs_eval!T209 = "No extraneous information", 1, 0))</f>
        <v/>
      </c>
      <c r="J149" s="40" t="str">
        <f>IF(ISBLANK(pvs_eval!X209), "", IF(pvs_eval!X209 = "No flow issues", 1, 0))</f>
        <v/>
      </c>
    </row>
    <row r="150">
      <c r="A150" s="43"/>
      <c r="E150" s="40" t="str">
        <f>IF(ISBLANK(pvs_eval!I210), "", IF(pvs_eval!I210 = "No hallucination", 1, 0))</f>
        <v/>
      </c>
      <c r="F150" s="40" t="str">
        <f>IF(ISBLANK(pvs_eval!L210), "", IF(pvs_eval!L210 = "No clinical inference", 1, 0))</f>
        <v/>
      </c>
      <c r="G150" s="40" t="str">
        <f>IF(ISBLANK(pvs_eval!M210), "", IF(pvs_eval!M210 = "Unsafe, Non-Deducible Inference", 0, 1))</f>
        <v/>
      </c>
      <c r="H150" s="40" t="str">
        <f>IF(ISBLANK(pvs_eval!P210), "", IF(pvs_eval!P210 = "No omission", 1, 0))</f>
        <v/>
      </c>
      <c r="I150" s="40" t="str">
        <f>IF(ISBLANK(pvs_eval!T210), "", IF(pvs_eval!T210 = "No extraneous information", 1, 0))</f>
        <v/>
      </c>
      <c r="J150" s="40" t="str">
        <f>IF(ISBLANK(pvs_eval!X210), "", IF(pvs_eval!X210 = "No flow issues", 1, 0))</f>
        <v/>
      </c>
    </row>
    <row r="151">
      <c r="A151" s="43"/>
      <c r="E151" s="40" t="str">
        <f>IF(ISBLANK(pvs_eval!I211), "", IF(pvs_eval!I211 = "No hallucination", 1, 0))</f>
        <v/>
      </c>
      <c r="F151" s="40" t="str">
        <f>IF(ISBLANK(pvs_eval!L211), "", IF(pvs_eval!L211 = "No clinical inference", 1, 0))</f>
        <v/>
      </c>
      <c r="G151" s="40" t="str">
        <f>IF(ISBLANK(pvs_eval!M211), "", IF(pvs_eval!M211 = "Unsafe, Non-Deducible Inference", 0, 1))</f>
        <v/>
      </c>
      <c r="H151" s="40" t="str">
        <f>IF(ISBLANK(pvs_eval!P211), "", IF(pvs_eval!P211 = "No omission", 1, 0))</f>
        <v/>
      </c>
      <c r="I151" s="40" t="str">
        <f>IF(ISBLANK(pvs_eval!T211), "", IF(pvs_eval!T211 = "No extraneous information", 1, 0))</f>
        <v/>
      </c>
      <c r="J151" s="40" t="str">
        <f>IF(ISBLANK(pvs_eval!X211), "", IF(pvs_eval!X211 = "No flow issues", 1, 0))</f>
        <v/>
      </c>
    </row>
    <row r="152">
      <c r="A152" s="43"/>
      <c r="E152" s="40" t="str">
        <f>IF(ISBLANK(pvs_eval!I212), "", IF(pvs_eval!I212 = "No hallucination", 1, 0))</f>
        <v/>
      </c>
      <c r="F152" s="40" t="str">
        <f>IF(ISBLANK(pvs_eval!L212), "", IF(pvs_eval!L212 = "No clinical inference", 1, 0))</f>
        <v/>
      </c>
      <c r="G152" s="40" t="str">
        <f>IF(ISBLANK(pvs_eval!M212), "", IF(pvs_eval!M212 = "Unsafe, Non-Deducible Inference", 0, 1))</f>
        <v/>
      </c>
      <c r="H152" s="40" t="str">
        <f>IF(ISBLANK(pvs_eval!P212), "", IF(pvs_eval!P212 = "No omission", 1, 0))</f>
        <v/>
      </c>
      <c r="I152" s="40" t="str">
        <f>IF(ISBLANK(pvs_eval!T212), "", IF(pvs_eval!T212 = "No extraneous information", 1, 0))</f>
        <v/>
      </c>
      <c r="J152" s="40" t="str">
        <f>IF(ISBLANK(pvs_eval!X212), "", IF(pvs_eval!X212 = "No flow issues", 1, 0))</f>
        <v/>
      </c>
    </row>
    <row r="153">
      <c r="A153" s="43"/>
      <c r="E153" s="40" t="str">
        <f>IF(ISBLANK(pvs_eval!I213), "", IF(pvs_eval!I213 = "No hallucination", 1, 0))</f>
        <v/>
      </c>
      <c r="F153" s="40" t="str">
        <f>IF(ISBLANK(pvs_eval!L213), "", IF(pvs_eval!L213 = "No clinical inference", 1, 0))</f>
        <v/>
      </c>
      <c r="G153" s="40" t="str">
        <f>IF(ISBLANK(pvs_eval!M213), "", IF(pvs_eval!M213 = "Unsafe, Non-Deducible Inference", 0, 1))</f>
        <v/>
      </c>
      <c r="H153" s="40" t="str">
        <f>IF(ISBLANK(pvs_eval!P213), "", IF(pvs_eval!P213 = "No omission", 1, 0))</f>
        <v/>
      </c>
      <c r="I153" s="40" t="str">
        <f>IF(ISBLANK(pvs_eval!T213), "", IF(pvs_eval!T213 = "No extraneous information", 1, 0))</f>
        <v/>
      </c>
      <c r="J153" s="40" t="str">
        <f>IF(ISBLANK(pvs_eval!X213), "", IF(pvs_eval!X213 = "No flow issues", 1, 0))</f>
        <v/>
      </c>
    </row>
    <row r="154">
      <c r="A154" s="43"/>
      <c r="E154" s="40" t="str">
        <f>IF(ISBLANK(pvs_eval!I214), "", IF(pvs_eval!I214 = "No hallucination", 1, 0))</f>
        <v/>
      </c>
      <c r="F154" s="40" t="str">
        <f>IF(ISBLANK(pvs_eval!L214), "", IF(pvs_eval!L214 = "No clinical inference", 1, 0))</f>
        <v/>
      </c>
      <c r="G154" s="40" t="str">
        <f>IF(ISBLANK(pvs_eval!M214), "", IF(pvs_eval!M214 = "Unsafe, Non-Deducible Inference", 0, 1))</f>
        <v/>
      </c>
      <c r="H154" s="40" t="str">
        <f>IF(ISBLANK(pvs_eval!P214), "", IF(pvs_eval!P214 = "No omission", 1, 0))</f>
        <v/>
      </c>
      <c r="I154" s="40" t="str">
        <f>IF(ISBLANK(pvs_eval!T214), "", IF(pvs_eval!T214 = "No extraneous information", 1, 0))</f>
        <v/>
      </c>
      <c r="J154" s="40" t="str">
        <f>IF(ISBLANK(pvs_eval!X214), "", IF(pvs_eval!X214 = "No flow issues", 1, 0))</f>
        <v/>
      </c>
    </row>
    <row r="155">
      <c r="A155" s="43"/>
      <c r="E155" s="40" t="str">
        <f>IF(ISBLANK(pvs_eval!I215), "", IF(pvs_eval!I215 = "No hallucination", 1, 0))</f>
        <v/>
      </c>
      <c r="F155" s="40" t="str">
        <f>IF(ISBLANK(pvs_eval!L215), "", IF(pvs_eval!L215 = "No clinical inference", 1, 0))</f>
        <v/>
      </c>
      <c r="G155" s="40" t="str">
        <f>IF(ISBLANK(pvs_eval!M215), "", IF(pvs_eval!M215 = "Unsafe, Non-Deducible Inference", 0, 1))</f>
        <v/>
      </c>
      <c r="H155" s="40" t="str">
        <f>IF(ISBLANK(pvs_eval!P215), "", IF(pvs_eval!P215 = "No omission", 1, 0))</f>
        <v/>
      </c>
      <c r="I155" s="40" t="str">
        <f>IF(ISBLANK(pvs_eval!T215), "", IF(pvs_eval!T215 = "No extraneous information", 1, 0))</f>
        <v/>
      </c>
      <c r="J155" s="40" t="str">
        <f>IF(ISBLANK(pvs_eval!X215), "", IF(pvs_eval!X215 = "No flow issues", 1, 0))</f>
        <v/>
      </c>
    </row>
    <row r="156">
      <c r="A156" s="43"/>
      <c r="E156" s="40" t="str">
        <f>IF(ISBLANK(pvs_eval!I216), "", IF(pvs_eval!I216 = "No hallucination", 1, 0))</f>
        <v/>
      </c>
      <c r="F156" s="40" t="str">
        <f>IF(ISBLANK(pvs_eval!L216), "", IF(pvs_eval!L216 = "No clinical inference", 1, 0))</f>
        <v/>
      </c>
      <c r="G156" s="40" t="str">
        <f>IF(ISBLANK(pvs_eval!M216), "", IF(pvs_eval!M216 = "Unsafe, Non-Deducible Inference", 0, 1))</f>
        <v/>
      </c>
      <c r="H156" s="40" t="str">
        <f>IF(ISBLANK(pvs_eval!P216), "", IF(pvs_eval!P216 = "No omission", 1, 0))</f>
        <v/>
      </c>
      <c r="I156" s="40" t="str">
        <f>IF(ISBLANK(pvs_eval!T216), "", IF(pvs_eval!T216 = "No extraneous information", 1, 0))</f>
        <v/>
      </c>
      <c r="J156" s="40" t="str">
        <f>IF(ISBLANK(pvs_eval!X216), "", IF(pvs_eval!X216 = "No flow issues", 1, 0))</f>
        <v/>
      </c>
    </row>
    <row r="157">
      <c r="A157" s="43"/>
      <c r="E157" s="40" t="str">
        <f>IF(ISBLANK(pvs_eval!I217), "", IF(pvs_eval!I217 = "No hallucination", 1, 0))</f>
        <v/>
      </c>
      <c r="F157" s="40" t="str">
        <f>IF(ISBLANK(pvs_eval!L217), "", IF(pvs_eval!L217 = "No clinical inference", 1, 0))</f>
        <v/>
      </c>
      <c r="G157" s="40" t="str">
        <f>IF(ISBLANK(pvs_eval!M217), "", IF(pvs_eval!M217 = "Unsafe, Non-Deducible Inference", 0, 1))</f>
        <v/>
      </c>
      <c r="H157" s="40" t="str">
        <f>IF(ISBLANK(pvs_eval!P217), "", IF(pvs_eval!P217 = "No omission", 1, 0))</f>
        <v/>
      </c>
      <c r="I157" s="40" t="str">
        <f>IF(ISBLANK(pvs_eval!T217), "", IF(pvs_eval!T217 = "No extraneous information", 1, 0))</f>
        <v/>
      </c>
      <c r="J157" s="40" t="str">
        <f>IF(ISBLANK(pvs_eval!X217), "", IF(pvs_eval!X217 = "No flow issues", 1, 0))</f>
        <v/>
      </c>
    </row>
    <row r="158">
      <c r="A158" s="43"/>
      <c r="E158" s="40" t="str">
        <f>IF(ISBLANK(pvs_eval!I218), "", IF(pvs_eval!I218 = "No hallucination", 1, 0))</f>
        <v/>
      </c>
      <c r="F158" s="40" t="str">
        <f>IF(ISBLANK(pvs_eval!L218), "", IF(pvs_eval!L218 = "No clinical inference", 1, 0))</f>
        <v/>
      </c>
      <c r="G158" s="40" t="str">
        <f>IF(ISBLANK(pvs_eval!M218), "", IF(pvs_eval!M218 = "Unsafe, Non-Deducible Inference", 0, 1))</f>
        <v/>
      </c>
      <c r="H158" s="40" t="str">
        <f>IF(ISBLANK(pvs_eval!P218), "", IF(pvs_eval!P218 = "No omission", 1, 0))</f>
        <v/>
      </c>
      <c r="I158" s="40" t="str">
        <f>IF(ISBLANK(pvs_eval!T218), "", IF(pvs_eval!T218 = "No extraneous information", 1, 0))</f>
        <v/>
      </c>
      <c r="J158" s="40" t="str">
        <f>IF(ISBLANK(pvs_eval!X218), "", IF(pvs_eval!X218 = "No flow issues", 1, 0))</f>
        <v/>
      </c>
    </row>
    <row r="159">
      <c r="A159" s="43"/>
      <c r="E159" s="40" t="str">
        <f>IF(ISBLANK(pvs_eval!I219), "", IF(pvs_eval!I219 = "No hallucination", 1, 0))</f>
        <v/>
      </c>
      <c r="F159" s="40" t="str">
        <f>IF(ISBLANK(pvs_eval!L219), "", IF(pvs_eval!L219 = "No clinical inference", 1, 0))</f>
        <v/>
      </c>
      <c r="G159" s="40" t="str">
        <f>IF(ISBLANK(pvs_eval!M219), "", IF(pvs_eval!M219 = "Unsafe, Non-Deducible Inference", 0, 1))</f>
        <v/>
      </c>
      <c r="H159" s="40" t="str">
        <f>IF(ISBLANK(pvs_eval!P219), "", IF(pvs_eval!P219 = "No omission", 1, 0))</f>
        <v/>
      </c>
      <c r="I159" s="40" t="str">
        <f>IF(ISBLANK(pvs_eval!T219), "", IF(pvs_eval!T219 = "No extraneous information", 1, 0))</f>
        <v/>
      </c>
      <c r="J159" s="40" t="str">
        <f>IF(ISBLANK(pvs_eval!X219), "", IF(pvs_eval!X219 = "No flow issues", 1, 0))</f>
        <v/>
      </c>
    </row>
    <row r="160">
      <c r="A160" s="43"/>
      <c r="E160" s="40" t="str">
        <f>IF(ISBLANK(pvs_eval!I220), "", IF(pvs_eval!I220 = "No hallucination", 1, 0))</f>
        <v/>
      </c>
      <c r="F160" s="40" t="str">
        <f>IF(ISBLANK(pvs_eval!L220), "", IF(pvs_eval!L220 = "No clinical inference", 1, 0))</f>
        <v/>
      </c>
      <c r="G160" s="40" t="str">
        <f>IF(ISBLANK(pvs_eval!M220), "", IF(pvs_eval!M220 = "Unsafe, Non-Deducible Inference", 0, 1))</f>
        <v/>
      </c>
      <c r="H160" s="40" t="str">
        <f>IF(ISBLANK(pvs_eval!P220), "", IF(pvs_eval!P220 = "No omission", 1, 0))</f>
        <v/>
      </c>
      <c r="I160" s="40" t="str">
        <f>IF(ISBLANK(pvs_eval!T220), "", IF(pvs_eval!T220 = "No extraneous information", 1, 0))</f>
        <v/>
      </c>
      <c r="J160" s="40" t="str">
        <f>IF(ISBLANK(pvs_eval!X220), "", IF(pvs_eval!X220 = "No flow issues", 1, 0))</f>
        <v/>
      </c>
    </row>
    <row r="161">
      <c r="A161" s="43"/>
      <c r="E161" s="40" t="str">
        <f>IF(ISBLANK(pvs_eval!I221), "", IF(pvs_eval!I221 = "No hallucination", 1, 0))</f>
        <v/>
      </c>
      <c r="F161" s="40" t="str">
        <f>IF(ISBLANK(pvs_eval!L221), "", IF(pvs_eval!L221 = "No clinical inference", 1, 0))</f>
        <v/>
      </c>
      <c r="G161" s="40" t="str">
        <f>IF(ISBLANK(pvs_eval!M221), "", IF(pvs_eval!M221 = "Unsafe, Non-Deducible Inference", 0, 1))</f>
        <v/>
      </c>
      <c r="H161" s="40" t="str">
        <f>IF(ISBLANK(pvs_eval!P221), "", IF(pvs_eval!P221 = "No omission", 1, 0))</f>
        <v/>
      </c>
      <c r="I161" s="40" t="str">
        <f>IF(ISBLANK(pvs_eval!T221), "", IF(pvs_eval!T221 = "No extraneous information", 1, 0))</f>
        <v/>
      </c>
      <c r="J161" s="40" t="str">
        <f>IF(ISBLANK(pvs_eval!X221), "", IF(pvs_eval!X221 = "No flow issues", 1, 0))</f>
        <v/>
      </c>
    </row>
    <row r="162">
      <c r="A162" s="43"/>
      <c r="E162" s="40" t="str">
        <f>IF(ISBLANK(pvs_eval!I222), "", IF(pvs_eval!I222 = "No hallucination", 1, 0))</f>
        <v/>
      </c>
      <c r="F162" s="40" t="str">
        <f>IF(ISBLANK(pvs_eval!L222), "", IF(pvs_eval!L222 = "No clinical inference", 1, 0))</f>
        <v/>
      </c>
      <c r="G162" s="40" t="str">
        <f>IF(ISBLANK(pvs_eval!M222), "", IF(pvs_eval!M222 = "Unsafe, Non-Deducible Inference", 0, 1))</f>
        <v/>
      </c>
      <c r="H162" s="40" t="str">
        <f>IF(ISBLANK(pvs_eval!P222), "", IF(pvs_eval!P222 = "No omission", 1, 0))</f>
        <v/>
      </c>
      <c r="I162" s="40" t="str">
        <f>IF(ISBLANK(pvs_eval!T222), "", IF(pvs_eval!T222 = "No extraneous information", 1, 0))</f>
        <v/>
      </c>
      <c r="J162" s="40" t="str">
        <f>IF(ISBLANK(pvs_eval!X222), "", IF(pvs_eval!X222 = "No flow issues", 1, 0))</f>
        <v/>
      </c>
    </row>
    <row r="163">
      <c r="A163" s="43"/>
      <c r="E163" s="40" t="str">
        <f>IF(ISBLANK(pvs_eval!I223), "", IF(pvs_eval!I223 = "No hallucination", 1, 0))</f>
        <v/>
      </c>
      <c r="F163" s="40" t="str">
        <f>IF(ISBLANK(pvs_eval!L223), "", IF(pvs_eval!L223 = "No clinical inference", 1, 0))</f>
        <v/>
      </c>
      <c r="G163" s="40" t="str">
        <f>IF(ISBLANK(pvs_eval!M223), "", IF(pvs_eval!M223 = "Unsafe, Non-Deducible Inference", 0, 1))</f>
        <v/>
      </c>
      <c r="H163" s="40" t="str">
        <f>IF(ISBLANK(pvs_eval!P223), "", IF(pvs_eval!P223 = "No omission", 1, 0))</f>
        <v/>
      </c>
      <c r="I163" s="40" t="str">
        <f>IF(ISBLANK(pvs_eval!T223), "", IF(pvs_eval!T223 = "No extraneous information", 1, 0))</f>
        <v/>
      </c>
      <c r="J163" s="40" t="str">
        <f>IF(ISBLANK(pvs_eval!X223), "", IF(pvs_eval!X223 = "No flow issues", 1, 0))</f>
        <v/>
      </c>
    </row>
    <row r="164">
      <c r="A164" s="43"/>
      <c r="E164" s="40" t="str">
        <f>IF(ISBLANK(pvs_eval!I224), "", IF(pvs_eval!I224 = "No hallucination", 1, 0))</f>
        <v/>
      </c>
      <c r="F164" s="40" t="str">
        <f>IF(ISBLANK(pvs_eval!L224), "", IF(pvs_eval!L224 = "No clinical inference", 1, 0))</f>
        <v/>
      </c>
      <c r="G164" s="40" t="str">
        <f>IF(ISBLANK(pvs_eval!M224), "", IF(pvs_eval!M224 = "Unsafe, Non-Deducible Inference", 0, 1))</f>
        <v/>
      </c>
      <c r="H164" s="40" t="str">
        <f>IF(ISBLANK(pvs_eval!P224), "", IF(pvs_eval!P224 = "No omission", 1, 0))</f>
        <v/>
      </c>
      <c r="I164" s="40" t="str">
        <f>IF(ISBLANK(pvs_eval!T224), "", IF(pvs_eval!T224 = "No extraneous information", 1, 0))</f>
        <v/>
      </c>
      <c r="J164" s="40" t="str">
        <f>IF(ISBLANK(pvs_eval!X224), "", IF(pvs_eval!X224 = "No flow issues", 1, 0))</f>
        <v/>
      </c>
    </row>
    <row r="165">
      <c r="A165" s="43"/>
      <c r="E165" s="40" t="str">
        <f>IF(ISBLANK(pvs_eval!I225), "", IF(pvs_eval!I225 = "No hallucination", 1, 0))</f>
        <v/>
      </c>
      <c r="F165" s="40" t="str">
        <f>IF(ISBLANK(pvs_eval!L225), "", IF(pvs_eval!L225 = "No clinical inference", 1, 0))</f>
        <v/>
      </c>
      <c r="G165" s="40" t="str">
        <f>IF(ISBLANK(pvs_eval!M225), "", IF(pvs_eval!M225 = "Unsafe, Non-Deducible Inference", 0, 1))</f>
        <v/>
      </c>
      <c r="H165" s="40" t="str">
        <f>IF(ISBLANK(pvs_eval!P225), "", IF(pvs_eval!P225 = "No omission", 1, 0))</f>
        <v/>
      </c>
      <c r="I165" s="40" t="str">
        <f>IF(ISBLANK(pvs_eval!T225), "", IF(pvs_eval!T225 = "No extraneous information", 1, 0))</f>
        <v/>
      </c>
      <c r="J165" s="40" t="str">
        <f>IF(ISBLANK(pvs_eval!X225), "", IF(pvs_eval!X225 = "No flow issues", 1, 0))</f>
        <v/>
      </c>
    </row>
    <row r="166">
      <c r="A166" s="43"/>
      <c r="E166" s="40" t="str">
        <f>IF(ISBLANK(pvs_eval!I226), "", IF(pvs_eval!I226 = "No hallucination", 1, 0))</f>
        <v/>
      </c>
      <c r="F166" s="40" t="str">
        <f>IF(ISBLANK(pvs_eval!L226), "", IF(pvs_eval!L226 = "No clinical inference", 1, 0))</f>
        <v/>
      </c>
      <c r="G166" s="40" t="str">
        <f>IF(ISBLANK(pvs_eval!M226), "", IF(pvs_eval!M226 = "Unsafe, Non-Deducible Inference", 0, 1))</f>
        <v/>
      </c>
      <c r="H166" s="40" t="str">
        <f>IF(ISBLANK(pvs_eval!P226), "", IF(pvs_eval!P226 = "No omission", 1, 0))</f>
        <v/>
      </c>
      <c r="I166" s="40" t="str">
        <f>IF(ISBLANK(pvs_eval!T226), "", IF(pvs_eval!T226 = "No extraneous information", 1, 0))</f>
        <v/>
      </c>
      <c r="J166" s="40" t="str">
        <f>IF(ISBLANK(pvs_eval!X226), "", IF(pvs_eval!X226 = "No flow issues", 1, 0))</f>
        <v/>
      </c>
    </row>
    <row r="167">
      <c r="A167" s="43"/>
      <c r="E167" s="40" t="str">
        <f>IF(ISBLANK(pvs_eval!I227), "", IF(pvs_eval!I227 = "No hallucination", 1, 0))</f>
        <v/>
      </c>
      <c r="F167" s="40" t="str">
        <f>IF(ISBLANK(pvs_eval!L227), "", IF(pvs_eval!L227 = "No clinical inference", 1, 0))</f>
        <v/>
      </c>
      <c r="G167" s="40" t="str">
        <f>IF(ISBLANK(pvs_eval!M227), "", IF(pvs_eval!M227 = "Unsafe, Non-Deducible Inference", 0, 1))</f>
        <v/>
      </c>
      <c r="H167" s="40" t="str">
        <f>IF(ISBLANK(pvs_eval!P227), "", IF(pvs_eval!P227 = "No omission", 1, 0))</f>
        <v/>
      </c>
      <c r="I167" s="40" t="str">
        <f>IF(ISBLANK(pvs_eval!T227), "", IF(pvs_eval!T227 = "No extraneous information", 1, 0))</f>
        <v/>
      </c>
      <c r="J167" s="40" t="str">
        <f>IF(ISBLANK(pvs_eval!X227), "", IF(pvs_eval!X227 = "No flow issues", 1, 0))</f>
        <v/>
      </c>
    </row>
    <row r="168">
      <c r="A168" s="43"/>
      <c r="E168" s="40" t="str">
        <f>IF(ISBLANK(pvs_eval!I228), "", IF(pvs_eval!I228 = "No hallucination", 1, 0))</f>
        <v/>
      </c>
      <c r="F168" s="40" t="str">
        <f>IF(ISBLANK(pvs_eval!L228), "", IF(pvs_eval!L228 = "No clinical inference", 1, 0))</f>
        <v/>
      </c>
      <c r="G168" s="40" t="str">
        <f>IF(ISBLANK(pvs_eval!M228), "", IF(pvs_eval!M228 = "Unsafe, Non-Deducible Inference", 0, 1))</f>
        <v/>
      </c>
      <c r="H168" s="40" t="str">
        <f>IF(ISBLANK(pvs_eval!P228), "", IF(pvs_eval!P228 = "No omission", 1, 0))</f>
        <v/>
      </c>
      <c r="I168" s="40" t="str">
        <f>IF(ISBLANK(pvs_eval!T228), "", IF(pvs_eval!T228 = "No extraneous information", 1, 0))</f>
        <v/>
      </c>
      <c r="J168" s="40" t="str">
        <f>IF(ISBLANK(pvs_eval!X228), "", IF(pvs_eval!X228 = "No flow issues", 1, 0))</f>
        <v/>
      </c>
    </row>
    <row r="169">
      <c r="A169" s="43"/>
      <c r="E169" s="40" t="str">
        <f>IF(ISBLANK(pvs_eval!I229), "", IF(pvs_eval!I229 = "No hallucination", 1, 0))</f>
        <v/>
      </c>
      <c r="F169" s="40" t="str">
        <f>IF(ISBLANK(pvs_eval!L229), "", IF(pvs_eval!L229 = "No clinical inference", 1, 0))</f>
        <v/>
      </c>
      <c r="G169" s="40" t="str">
        <f>IF(ISBLANK(pvs_eval!M229), "", IF(pvs_eval!M229 = "Unsafe, Non-Deducible Inference", 0, 1))</f>
        <v/>
      </c>
      <c r="H169" s="40" t="str">
        <f>IF(ISBLANK(pvs_eval!P229), "", IF(pvs_eval!P229 = "No omission", 1, 0))</f>
        <v/>
      </c>
      <c r="I169" s="40" t="str">
        <f>IF(ISBLANK(pvs_eval!T229), "", IF(pvs_eval!T229 = "No extraneous information", 1, 0))</f>
        <v/>
      </c>
      <c r="J169" s="40" t="str">
        <f>IF(ISBLANK(pvs_eval!X229), "", IF(pvs_eval!X229 = "No flow issues", 1, 0))</f>
        <v/>
      </c>
    </row>
    <row r="170">
      <c r="A170" s="43"/>
      <c r="E170" s="40" t="str">
        <f>IF(ISBLANK(pvs_eval!I230), "", IF(pvs_eval!I230 = "No hallucination", 1, 0))</f>
        <v/>
      </c>
      <c r="F170" s="40" t="str">
        <f>IF(ISBLANK(pvs_eval!L230), "", IF(pvs_eval!L230 = "No clinical inference", 1, 0))</f>
        <v/>
      </c>
      <c r="G170" s="40" t="str">
        <f>IF(ISBLANK(pvs_eval!M230), "", IF(pvs_eval!M230 = "Unsafe, Non-Deducible Inference", 0, 1))</f>
        <v/>
      </c>
      <c r="H170" s="40" t="str">
        <f>IF(ISBLANK(pvs_eval!P230), "", IF(pvs_eval!P230 = "No omission", 1, 0))</f>
        <v/>
      </c>
      <c r="I170" s="40" t="str">
        <f>IF(ISBLANK(pvs_eval!T230), "", IF(pvs_eval!T230 = "No extraneous information", 1, 0))</f>
        <v/>
      </c>
      <c r="J170" s="40" t="str">
        <f>IF(ISBLANK(pvs_eval!X230), "", IF(pvs_eval!X230 = "No flow issues", 1, 0))</f>
        <v/>
      </c>
    </row>
    <row r="171">
      <c r="A171" s="43"/>
      <c r="E171" s="40" t="str">
        <f>IF(ISBLANK(pvs_eval!I231), "", IF(pvs_eval!I231 = "No hallucination", 1, 0))</f>
        <v/>
      </c>
      <c r="F171" s="40" t="str">
        <f>IF(ISBLANK(pvs_eval!L231), "", IF(pvs_eval!L231 = "No clinical inference", 1, 0))</f>
        <v/>
      </c>
      <c r="G171" s="40" t="str">
        <f>IF(ISBLANK(pvs_eval!M231), "", IF(pvs_eval!M231 = "Unsafe, Non-Deducible Inference", 0, 1))</f>
        <v/>
      </c>
      <c r="H171" s="40" t="str">
        <f>IF(ISBLANK(pvs_eval!P231), "", IF(pvs_eval!P231 = "No omission", 1, 0))</f>
        <v/>
      </c>
      <c r="I171" s="40" t="str">
        <f>IF(ISBLANK(pvs_eval!T231), "", IF(pvs_eval!T231 = "No extraneous information", 1, 0))</f>
        <v/>
      </c>
      <c r="J171" s="40" t="str">
        <f>IF(ISBLANK(pvs_eval!X231), "", IF(pvs_eval!X231 = "No flow issues", 1, 0))</f>
        <v/>
      </c>
    </row>
    <row r="172">
      <c r="A172" s="43"/>
      <c r="E172" s="40" t="str">
        <f>IF(ISBLANK(pvs_eval!I232), "", IF(pvs_eval!I232 = "No hallucination", 1, 0))</f>
        <v/>
      </c>
      <c r="F172" s="40" t="str">
        <f>IF(ISBLANK(pvs_eval!L232), "", IF(pvs_eval!L232 = "No clinical inference", 1, 0))</f>
        <v/>
      </c>
      <c r="G172" s="40" t="str">
        <f>IF(ISBLANK(pvs_eval!M232), "", IF(pvs_eval!M232 = "Unsafe, Non-Deducible Inference", 0, 1))</f>
        <v/>
      </c>
      <c r="H172" s="40" t="str">
        <f>IF(ISBLANK(pvs_eval!P232), "", IF(pvs_eval!P232 = "No omission", 1, 0))</f>
        <v/>
      </c>
      <c r="I172" s="40" t="str">
        <f>IF(ISBLANK(pvs_eval!T232), "", IF(pvs_eval!T232 = "No extraneous information", 1, 0))</f>
        <v/>
      </c>
      <c r="J172" s="40" t="str">
        <f>IF(ISBLANK(pvs_eval!X232), "", IF(pvs_eval!X232 = "No flow issues", 1, 0))</f>
        <v/>
      </c>
    </row>
    <row r="173">
      <c r="A173" s="43"/>
      <c r="E173" s="40" t="str">
        <f>IF(ISBLANK(pvs_eval!I233), "", IF(pvs_eval!I233 = "No hallucination", 1, 0))</f>
        <v/>
      </c>
      <c r="F173" s="40" t="str">
        <f>IF(ISBLANK(pvs_eval!L233), "", IF(pvs_eval!L233 = "No clinical inference", 1, 0))</f>
        <v/>
      </c>
      <c r="G173" s="40" t="str">
        <f>IF(ISBLANK(pvs_eval!M233), "", IF(pvs_eval!M233 = "Unsafe, Non-Deducible Inference", 0, 1))</f>
        <v/>
      </c>
      <c r="H173" s="40" t="str">
        <f>IF(ISBLANK(pvs_eval!P233), "", IF(pvs_eval!P233 = "No omission", 1, 0))</f>
        <v/>
      </c>
      <c r="I173" s="40" t="str">
        <f>IF(ISBLANK(pvs_eval!T233), "", IF(pvs_eval!T233 = "No extraneous information", 1, 0))</f>
        <v/>
      </c>
      <c r="J173" s="40" t="str">
        <f>IF(ISBLANK(pvs_eval!X233), "", IF(pvs_eval!X233 = "No flow issues", 1, 0))</f>
        <v/>
      </c>
    </row>
    <row r="174">
      <c r="A174" s="43"/>
      <c r="E174" s="40" t="str">
        <f>IF(ISBLANK(pvs_eval!I234), "", IF(pvs_eval!I234 = "No hallucination", 1, 0))</f>
        <v/>
      </c>
      <c r="F174" s="40" t="str">
        <f>IF(ISBLANK(pvs_eval!L234), "", IF(pvs_eval!L234 = "No clinical inference", 1, 0))</f>
        <v/>
      </c>
      <c r="G174" s="40" t="str">
        <f>IF(ISBLANK(pvs_eval!M234), "", IF(pvs_eval!M234 = "Unsafe, Non-Deducible Inference", 0, 1))</f>
        <v/>
      </c>
      <c r="H174" s="40" t="str">
        <f>IF(ISBLANK(pvs_eval!P234), "", IF(pvs_eval!P234 = "No omission", 1, 0))</f>
        <v/>
      </c>
      <c r="I174" s="40" t="str">
        <f>IF(ISBLANK(pvs_eval!T234), "", IF(pvs_eval!T234 = "No extraneous information", 1, 0))</f>
        <v/>
      </c>
      <c r="J174" s="40" t="str">
        <f>IF(ISBLANK(pvs_eval!X234), "", IF(pvs_eval!X234 = "No flow issues", 1, 0))</f>
        <v/>
      </c>
    </row>
    <row r="175">
      <c r="A175" s="43"/>
      <c r="E175" s="40" t="str">
        <f>IF(ISBLANK(pvs_eval!I235), "", IF(pvs_eval!I235 = "No hallucination", 1, 0))</f>
        <v/>
      </c>
      <c r="F175" s="40" t="str">
        <f>IF(ISBLANK(pvs_eval!L235), "", IF(pvs_eval!L235 = "No clinical inference", 1, 0))</f>
        <v/>
      </c>
      <c r="G175" s="40" t="str">
        <f>IF(ISBLANK(pvs_eval!M235), "", IF(pvs_eval!M235 = "Unsafe, Non-Deducible Inference", 0, 1))</f>
        <v/>
      </c>
      <c r="H175" s="40" t="str">
        <f>IF(ISBLANK(pvs_eval!P235), "", IF(pvs_eval!P235 = "No omission", 1, 0))</f>
        <v/>
      </c>
      <c r="I175" s="40" t="str">
        <f>IF(ISBLANK(pvs_eval!T235), "", IF(pvs_eval!T235 = "No extraneous information", 1, 0))</f>
        <v/>
      </c>
      <c r="J175" s="40" t="str">
        <f>IF(ISBLANK(pvs_eval!X235), "", IF(pvs_eval!X235 = "No flow issues", 1, 0))</f>
        <v/>
      </c>
    </row>
    <row r="176">
      <c r="A176" s="43"/>
      <c r="E176" s="40" t="str">
        <f>IF(ISBLANK(pvs_eval!I236), "", IF(pvs_eval!I236 = "No hallucination", 1, 0))</f>
        <v/>
      </c>
      <c r="F176" s="40" t="str">
        <f>IF(ISBLANK(pvs_eval!L236), "", IF(pvs_eval!L236 = "No clinical inference", 1, 0))</f>
        <v/>
      </c>
      <c r="G176" s="40" t="str">
        <f>IF(ISBLANK(pvs_eval!M236), "", IF(pvs_eval!M236 = "Unsafe, Non-Deducible Inference", 0, 1))</f>
        <v/>
      </c>
      <c r="H176" s="40" t="str">
        <f>IF(ISBLANK(pvs_eval!P236), "", IF(pvs_eval!P236 = "No omission", 1, 0))</f>
        <v/>
      </c>
      <c r="I176" s="40" t="str">
        <f>IF(ISBLANK(pvs_eval!T236), "", IF(pvs_eval!T236 = "No extraneous information", 1, 0))</f>
        <v/>
      </c>
      <c r="J176" s="40" t="str">
        <f>IF(ISBLANK(pvs_eval!X236), "", IF(pvs_eval!X236 = "No flow issues", 1, 0))</f>
        <v/>
      </c>
    </row>
    <row r="177">
      <c r="A177" s="43"/>
      <c r="E177" s="40" t="str">
        <f>IF(ISBLANK(pvs_eval!I237), "", IF(pvs_eval!I237 = "No hallucination", 1, 0))</f>
        <v/>
      </c>
      <c r="F177" s="40" t="str">
        <f>IF(ISBLANK(pvs_eval!L237), "", IF(pvs_eval!L237 = "No clinical inference", 1, 0))</f>
        <v/>
      </c>
      <c r="G177" s="40" t="str">
        <f>IF(ISBLANK(pvs_eval!M237), "", IF(pvs_eval!M237 = "Unsafe, Non-Deducible Inference", 0, 1))</f>
        <v/>
      </c>
      <c r="H177" s="40" t="str">
        <f>IF(ISBLANK(pvs_eval!P237), "", IF(pvs_eval!P237 = "No omission", 1, 0))</f>
        <v/>
      </c>
      <c r="I177" s="40" t="str">
        <f>IF(ISBLANK(pvs_eval!T237), "", IF(pvs_eval!T237 = "No extraneous information", 1, 0))</f>
        <v/>
      </c>
      <c r="J177" s="40" t="str">
        <f>IF(ISBLANK(pvs_eval!X237), "", IF(pvs_eval!X237 = "No flow issues", 1, 0))</f>
        <v/>
      </c>
    </row>
    <row r="178">
      <c r="A178" s="43"/>
      <c r="E178" s="40" t="str">
        <f>IF(ISBLANK(pvs_eval!I238), "", IF(pvs_eval!I238 = "No hallucination", 1, 0))</f>
        <v/>
      </c>
      <c r="F178" s="40" t="str">
        <f>IF(ISBLANK(pvs_eval!L238), "", IF(pvs_eval!L238 = "No clinical inference", 1, 0))</f>
        <v/>
      </c>
      <c r="G178" s="40" t="str">
        <f>IF(ISBLANK(pvs_eval!M238), "", IF(pvs_eval!M238 = "Unsafe, Non-Deducible Inference", 0, 1))</f>
        <v/>
      </c>
      <c r="H178" s="40" t="str">
        <f>IF(ISBLANK(pvs_eval!P238), "", IF(pvs_eval!P238 = "No omission", 1, 0))</f>
        <v/>
      </c>
      <c r="I178" s="40" t="str">
        <f>IF(ISBLANK(pvs_eval!T238), "", IF(pvs_eval!T238 = "No extraneous information", 1, 0))</f>
        <v/>
      </c>
      <c r="J178" s="40" t="str">
        <f>IF(ISBLANK(pvs_eval!X238), "", IF(pvs_eval!X238 = "No flow issues", 1, 0))</f>
        <v/>
      </c>
    </row>
    <row r="179">
      <c r="A179" s="43"/>
      <c r="E179" s="40" t="str">
        <f>IF(ISBLANK(pvs_eval!I239), "", IF(pvs_eval!I239 = "No hallucination", 1, 0))</f>
        <v/>
      </c>
      <c r="F179" s="40" t="str">
        <f>IF(ISBLANK(pvs_eval!L239), "", IF(pvs_eval!L239 = "No clinical inference", 1, 0))</f>
        <v/>
      </c>
      <c r="G179" s="40" t="str">
        <f>IF(ISBLANK(pvs_eval!M239), "", IF(pvs_eval!M239 = "Unsafe, Non-Deducible Inference", 0, 1))</f>
        <v/>
      </c>
      <c r="H179" s="40" t="str">
        <f>IF(ISBLANK(pvs_eval!P239), "", IF(pvs_eval!P239 = "No omission", 1, 0))</f>
        <v/>
      </c>
      <c r="I179" s="40" t="str">
        <f>IF(ISBLANK(pvs_eval!T239), "", IF(pvs_eval!T239 = "No extraneous information", 1, 0))</f>
        <v/>
      </c>
      <c r="J179" s="40" t="str">
        <f>IF(ISBLANK(pvs_eval!X239), "", IF(pvs_eval!X239 = "No flow issues", 1, 0))</f>
        <v/>
      </c>
    </row>
    <row r="180">
      <c r="A180" s="43"/>
      <c r="E180" s="40" t="str">
        <f>IF(ISBLANK(pvs_eval!I240), "", IF(pvs_eval!I240 = "No hallucination", 1, 0))</f>
        <v/>
      </c>
      <c r="F180" s="40" t="str">
        <f>IF(ISBLANK(pvs_eval!L240), "", IF(pvs_eval!L240 = "No clinical inference", 1, 0))</f>
        <v/>
      </c>
      <c r="G180" s="40" t="str">
        <f>IF(ISBLANK(pvs_eval!M240), "", IF(pvs_eval!M240 = "Unsafe, Non-Deducible Inference", 0, 1))</f>
        <v/>
      </c>
      <c r="H180" s="40" t="str">
        <f>IF(ISBLANK(pvs_eval!P240), "", IF(pvs_eval!P240 = "No omission", 1, 0))</f>
        <v/>
      </c>
      <c r="I180" s="40" t="str">
        <f>IF(ISBLANK(pvs_eval!T240), "", IF(pvs_eval!T240 = "No extraneous information", 1, 0))</f>
        <v/>
      </c>
      <c r="J180" s="40" t="str">
        <f>IF(ISBLANK(pvs_eval!X240), "", IF(pvs_eval!X240 = "No flow issues", 1, 0))</f>
        <v/>
      </c>
    </row>
    <row r="181">
      <c r="A181" s="43"/>
      <c r="E181" s="40" t="str">
        <f>IF(ISBLANK(pvs_eval!I241), "", IF(pvs_eval!I241 = "No hallucination", 1, 0))</f>
        <v/>
      </c>
      <c r="F181" s="40" t="str">
        <f>IF(ISBLANK(pvs_eval!L241), "", IF(pvs_eval!L241 = "No clinical inference", 1, 0))</f>
        <v/>
      </c>
      <c r="G181" s="40" t="str">
        <f>IF(ISBLANK(pvs_eval!M241), "", IF(pvs_eval!M241 = "Unsafe, Non-Deducible Inference", 0, 1))</f>
        <v/>
      </c>
      <c r="H181" s="40" t="str">
        <f>IF(ISBLANK(pvs_eval!P241), "", IF(pvs_eval!P241 = "No omission", 1, 0))</f>
        <v/>
      </c>
      <c r="I181" s="40" t="str">
        <f>IF(ISBLANK(pvs_eval!T241), "", IF(pvs_eval!T241 = "No extraneous information", 1, 0))</f>
        <v/>
      </c>
      <c r="J181" s="40" t="str">
        <f>IF(ISBLANK(pvs_eval!X241), "", IF(pvs_eval!X241 = "No flow issues", 1, 0))</f>
        <v/>
      </c>
    </row>
    <row r="182">
      <c r="A182" s="43"/>
      <c r="E182" s="40" t="str">
        <f>IF(ISBLANK(pvs_eval!I242), "", IF(pvs_eval!I242 = "No hallucination", 1, 0))</f>
        <v/>
      </c>
      <c r="F182" s="40" t="str">
        <f>IF(ISBLANK(pvs_eval!L242), "", IF(pvs_eval!L242 = "No clinical inference", 1, 0))</f>
        <v/>
      </c>
      <c r="G182" s="40" t="str">
        <f>IF(ISBLANK(pvs_eval!M242), "", IF(pvs_eval!M242 = "Unsafe, Non-Deducible Inference", 0, 1))</f>
        <v/>
      </c>
      <c r="H182" s="40" t="str">
        <f>IF(ISBLANK(pvs_eval!P242), "", IF(pvs_eval!P242 = "No omission", 1, 0))</f>
        <v/>
      </c>
      <c r="I182" s="40" t="str">
        <f>IF(ISBLANK(pvs_eval!T242), "", IF(pvs_eval!T242 = "No extraneous information", 1, 0))</f>
        <v/>
      </c>
      <c r="J182" s="40" t="str">
        <f>IF(ISBLANK(pvs_eval!X242), "", IF(pvs_eval!X242 = "No flow issues", 1, 0))</f>
        <v/>
      </c>
    </row>
    <row r="183">
      <c r="A183" s="43"/>
      <c r="E183" s="40" t="str">
        <f>IF(ISBLANK(pvs_eval!I243), "", IF(pvs_eval!I243 = "No hallucination", 1, 0))</f>
        <v/>
      </c>
      <c r="F183" s="40" t="str">
        <f>IF(ISBLANK(pvs_eval!L243), "", IF(pvs_eval!L243 = "No clinical inference", 1, 0))</f>
        <v/>
      </c>
      <c r="G183" s="40" t="str">
        <f>IF(ISBLANK(pvs_eval!M243), "", IF(pvs_eval!M243 = "Unsafe, Non-Deducible Inference", 0, 1))</f>
        <v/>
      </c>
      <c r="H183" s="40" t="str">
        <f>IF(ISBLANK(pvs_eval!P243), "", IF(pvs_eval!P243 = "No omission", 1, 0))</f>
        <v/>
      </c>
      <c r="I183" s="40" t="str">
        <f>IF(ISBLANK(pvs_eval!T243), "", IF(pvs_eval!T243 = "No extraneous information", 1, 0))</f>
        <v/>
      </c>
      <c r="J183" s="40" t="str">
        <f>IF(ISBLANK(pvs_eval!X243), "", IF(pvs_eval!X243 = "No flow issues", 1, 0))</f>
        <v/>
      </c>
    </row>
    <row r="184">
      <c r="A184" s="43"/>
      <c r="E184" s="40" t="str">
        <f>IF(ISBLANK(pvs_eval!I244), "", IF(pvs_eval!I244 = "No hallucination", 1, 0))</f>
        <v/>
      </c>
      <c r="F184" s="40" t="str">
        <f>IF(ISBLANK(pvs_eval!L244), "", IF(pvs_eval!L244 = "No clinical inference", 1, 0))</f>
        <v/>
      </c>
      <c r="G184" s="40" t="str">
        <f>IF(ISBLANK(pvs_eval!M244), "", IF(pvs_eval!M244 = "Unsafe, Non-Deducible Inference", 0, 1))</f>
        <v/>
      </c>
      <c r="H184" s="40" t="str">
        <f>IF(ISBLANK(pvs_eval!P244), "", IF(pvs_eval!P244 = "No omission", 1, 0))</f>
        <v/>
      </c>
      <c r="I184" s="40" t="str">
        <f>IF(ISBLANK(pvs_eval!T244), "", IF(pvs_eval!T244 = "No extraneous information", 1, 0))</f>
        <v/>
      </c>
      <c r="J184" s="40" t="str">
        <f>IF(ISBLANK(pvs_eval!X244), "", IF(pvs_eval!X244 = "No flow issues", 1, 0))</f>
        <v/>
      </c>
    </row>
    <row r="185">
      <c r="A185" s="43"/>
      <c r="E185" s="40" t="str">
        <f>IF(ISBLANK(pvs_eval!I245), "", IF(pvs_eval!I245 = "No hallucination", 1, 0))</f>
        <v/>
      </c>
      <c r="F185" s="40" t="str">
        <f>IF(ISBLANK(pvs_eval!L245), "", IF(pvs_eval!L245 = "No clinical inference", 1, 0))</f>
        <v/>
      </c>
      <c r="G185" s="40" t="str">
        <f>IF(ISBLANK(pvs_eval!M245), "", IF(pvs_eval!M245 = "Unsafe, Non-Deducible Inference", 0, 1))</f>
        <v/>
      </c>
      <c r="H185" s="40" t="str">
        <f>IF(ISBLANK(pvs_eval!P245), "", IF(pvs_eval!P245 = "No omission", 1, 0))</f>
        <v/>
      </c>
      <c r="I185" s="40" t="str">
        <f>IF(ISBLANK(pvs_eval!T245), "", IF(pvs_eval!T245 = "No extraneous information", 1, 0))</f>
        <v/>
      </c>
      <c r="J185" s="40" t="str">
        <f>IF(ISBLANK(pvs_eval!X245), "", IF(pvs_eval!X245 = "No flow issues", 1, 0))</f>
        <v/>
      </c>
    </row>
    <row r="186">
      <c r="A186" s="43"/>
      <c r="E186" s="40" t="str">
        <f>IF(ISBLANK(pvs_eval!I246), "", IF(pvs_eval!I246 = "No hallucination", 1, 0))</f>
        <v/>
      </c>
      <c r="F186" s="40" t="str">
        <f>IF(ISBLANK(pvs_eval!L246), "", IF(pvs_eval!L246 = "No clinical inference", 1, 0))</f>
        <v/>
      </c>
      <c r="G186" s="40" t="str">
        <f>IF(ISBLANK(pvs_eval!M246), "", IF(pvs_eval!M246 = "Unsafe, Non-Deducible Inference", 0, 1))</f>
        <v/>
      </c>
      <c r="H186" s="40" t="str">
        <f>IF(ISBLANK(pvs_eval!P246), "", IF(pvs_eval!P246 = "No omission", 1, 0))</f>
        <v/>
      </c>
      <c r="I186" s="40" t="str">
        <f>IF(ISBLANK(pvs_eval!T246), "", IF(pvs_eval!T246 = "No extraneous information", 1, 0))</f>
        <v/>
      </c>
      <c r="J186" s="40" t="str">
        <f>IF(ISBLANK(pvs_eval!X246), "", IF(pvs_eval!X246 = "No flow issues", 1, 0))</f>
        <v/>
      </c>
    </row>
    <row r="187">
      <c r="A187" s="43"/>
      <c r="E187" s="40" t="str">
        <f>IF(ISBLANK(pvs_eval!I247), "", IF(pvs_eval!I247 = "No hallucination", 1, 0))</f>
        <v/>
      </c>
      <c r="F187" s="40" t="str">
        <f>IF(ISBLANK(pvs_eval!L247), "", IF(pvs_eval!L247 = "No clinical inference", 1, 0))</f>
        <v/>
      </c>
      <c r="G187" s="40" t="str">
        <f>IF(ISBLANK(pvs_eval!M247), "", IF(pvs_eval!M247 = "Unsafe, Non-Deducible Inference", 0, 1))</f>
        <v/>
      </c>
      <c r="H187" s="40" t="str">
        <f>IF(ISBLANK(pvs_eval!P247), "", IF(pvs_eval!P247 = "No omission", 1, 0))</f>
        <v/>
      </c>
      <c r="I187" s="40" t="str">
        <f>IF(ISBLANK(pvs_eval!T247), "", IF(pvs_eval!T247 = "No extraneous information", 1, 0))</f>
        <v/>
      </c>
      <c r="J187" s="40" t="str">
        <f>IF(ISBLANK(pvs_eval!X247), "", IF(pvs_eval!X247 = "No flow issues", 1, 0))</f>
        <v/>
      </c>
    </row>
    <row r="188">
      <c r="A188" s="43"/>
      <c r="E188" s="40" t="str">
        <f>IF(ISBLANK(pvs_eval!I248), "", IF(pvs_eval!I248 = "No hallucination", 1, 0))</f>
        <v/>
      </c>
      <c r="F188" s="40" t="str">
        <f>IF(ISBLANK(pvs_eval!L248), "", IF(pvs_eval!L248 = "No clinical inference", 1, 0))</f>
        <v/>
      </c>
      <c r="G188" s="40" t="str">
        <f>IF(ISBLANK(pvs_eval!M248), "", IF(pvs_eval!M248 = "Unsafe, Non-Deducible Inference", 0, 1))</f>
        <v/>
      </c>
      <c r="H188" s="40" t="str">
        <f>IF(ISBLANK(pvs_eval!P248), "", IF(pvs_eval!P248 = "No omission", 1, 0))</f>
        <v/>
      </c>
      <c r="I188" s="40" t="str">
        <f>IF(ISBLANK(pvs_eval!T248), "", IF(pvs_eval!T248 = "No extraneous information", 1, 0))</f>
        <v/>
      </c>
      <c r="J188" s="40" t="str">
        <f>IF(ISBLANK(pvs_eval!X248), "", IF(pvs_eval!X248 = "No flow issues", 1, 0))</f>
        <v/>
      </c>
    </row>
    <row r="189">
      <c r="A189" s="43"/>
      <c r="E189" s="40" t="str">
        <f>IF(ISBLANK(pvs_eval!I249), "", IF(pvs_eval!I249 = "No hallucination", 1, 0))</f>
        <v/>
      </c>
      <c r="F189" s="40" t="str">
        <f>IF(ISBLANK(pvs_eval!L249), "", IF(pvs_eval!L249 = "No clinical inference", 1, 0))</f>
        <v/>
      </c>
      <c r="G189" s="40" t="str">
        <f>IF(ISBLANK(pvs_eval!M249), "", IF(pvs_eval!M249 = "Unsafe, Non-Deducible Inference", 0, 1))</f>
        <v/>
      </c>
      <c r="H189" s="40" t="str">
        <f>IF(ISBLANK(pvs_eval!P249), "", IF(pvs_eval!P249 = "No omission", 1, 0))</f>
        <v/>
      </c>
      <c r="I189" s="40" t="str">
        <f>IF(ISBLANK(pvs_eval!T249), "", IF(pvs_eval!T249 = "No extraneous information", 1, 0))</f>
        <v/>
      </c>
      <c r="J189" s="40" t="str">
        <f>IF(ISBLANK(pvs_eval!X249), "", IF(pvs_eval!X249 = "No flow issues", 1, 0))</f>
        <v/>
      </c>
    </row>
    <row r="190">
      <c r="A190" s="43"/>
      <c r="E190" s="40" t="str">
        <f>IF(ISBLANK(pvs_eval!I250), "", IF(pvs_eval!I250 = "No hallucination", 1, 0))</f>
        <v/>
      </c>
      <c r="F190" s="40" t="str">
        <f>IF(ISBLANK(pvs_eval!L250), "", IF(pvs_eval!L250 = "No clinical inference", 1, 0))</f>
        <v/>
      </c>
      <c r="G190" s="40" t="str">
        <f>IF(ISBLANK(pvs_eval!M250), "", IF(pvs_eval!M250 = "Unsafe, Non-Deducible Inference", 0, 1))</f>
        <v/>
      </c>
      <c r="H190" s="40" t="str">
        <f>IF(ISBLANK(pvs_eval!P250), "", IF(pvs_eval!P250 = "No omission", 1, 0))</f>
        <v/>
      </c>
      <c r="I190" s="40" t="str">
        <f>IF(ISBLANK(pvs_eval!T250), "", IF(pvs_eval!T250 = "No extraneous information", 1, 0))</f>
        <v/>
      </c>
      <c r="J190" s="40" t="str">
        <f>IF(ISBLANK(pvs_eval!X250), "", IF(pvs_eval!X250 = "No flow issues", 1, 0))</f>
        <v/>
      </c>
    </row>
    <row r="191">
      <c r="A191" s="43"/>
      <c r="E191" s="40" t="str">
        <f>IF(ISBLANK(pvs_eval!I251), "", IF(pvs_eval!I251 = "No hallucination", 1, 0))</f>
        <v/>
      </c>
      <c r="F191" s="40" t="str">
        <f>IF(ISBLANK(pvs_eval!L251), "", IF(pvs_eval!L251 = "No clinical inference", 1, 0))</f>
        <v/>
      </c>
      <c r="G191" s="40" t="str">
        <f>IF(ISBLANK(pvs_eval!M251), "", IF(pvs_eval!M251 = "Unsafe, Non-Deducible Inference", 0, 1))</f>
        <v/>
      </c>
      <c r="H191" s="40" t="str">
        <f>IF(ISBLANK(pvs_eval!P251), "", IF(pvs_eval!P251 = "No omission", 1, 0))</f>
        <v/>
      </c>
      <c r="I191" s="40" t="str">
        <f>IF(ISBLANK(pvs_eval!T251), "", IF(pvs_eval!T251 = "No extraneous information", 1, 0))</f>
        <v/>
      </c>
      <c r="J191" s="40" t="str">
        <f>IF(ISBLANK(pvs_eval!X251), "", IF(pvs_eval!X251 = "No flow issues", 1, 0))</f>
        <v/>
      </c>
    </row>
    <row r="192">
      <c r="A192" s="43"/>
      <c r="E192" s="40" t="str">
        <f>IF(ISBLANK(pvs_eval!I252), "", IF(pvs_eval!I252 = "No hallucination", 1, 0))</f>
        <v/>
      </c>
      <c r="F192" s="40" t="str">
        <f>IF(ISBLANK(pvs_eval!L252), "", IF(pvs_eval!L252 = "No clinical inference", 1, 0))</f>
        <v/>
      </c>
      <c r="G192" s="40" t="str">
        <f>IF(ISBLANK(pvs_eval!M252), "", IF(pvs_eval!M252 = "Unsafe, Non-Deducible Inference", 0, 1))</f>
        <v/>
      </c>
      <c r="H192" s="40" t="str">
        <f>IF(ISBLANK(pvs_eval!P252), "", IF(pvs_eval!P252 = "No omission", 1, 0))</f>
        <v/>
      </c>
      <c r="I192" s="40" t="str">
        <f>IF(ISBLANK(pvs_eval!T252), "", IF(pvs_eval!T252 = "No extraneous information", 1, 0))</f>
        <v/>
      </c>
      <c r="J192" s="40" t="str">
        <f>IF(ISBLANK(pvs_eval!X252), "", IF(pvs_eval!X252 = "No flow issues", 1, 0))</f>
        <v/>
      </c>
    </row>
    <row r="193">
      <c r="A193" s="43"/>
      <c r="E193" s="40" t="str">
        <f>IF(ISBLANK(pvs_eval!I253), "", IF(pvs_eval!I253 = "No hallucination", 1, 0))</f>
        <v/>
      </c>
      <c r="F193" s="40" t="str">
        <f>IF(ISBLANK(pvs_eval!L253), "", IF(pvs_eval!L253 = "No clinical inference", 1, 0))</f>
        <v/>
      </c>
      <c r="G193" s="40" t="str">
        <f>IF(ISBLANK(pvs_eval!M253), "", IF(pvs_eval!M253 = "Unsafe, Non-Deducible Inference", 0, 1))</f>
        <v/>
      </c>
      <c r="H193" s="40" t="str">
        <f>IF(ISBLANK(pvs_eval!P253), "", IF(pvs_eval!P253 = "No omission", 1, 0))</f>
        <v/>
      </c>
      <c r="I193" s="40" t="str">
        <f>IF(ISBLANK(pvs_eval!T253), "", IF(pvs_eval!T253 = "No extraneous information", 1, 0))</f>
        <v/>
      </c>
      <c r="J193" s="40" t="str">
        <f>IF(ISBLANK(pvs_eval!X253), "", IF(pvs_eval!X253 = "No flow issues", 1, 0))</f>
        <v/>
      </c>
    </row>
    <row r="194">
      <c r="A194" s="43"/>
      <c r="E194" s="40" t="str">
        <f>IF(ISBLANK(pvs_eval!I254), "", IF(pvs_eval!I254 = "No hallucination", 1, 0))</f>
        <v/>
      </c>
      <c r="F194" s="40" t="str">
        <f>IF(ISBLANK(pvs_eval!L254), "", IF(pvs_eval!L254 = "No clinical inference", 1, 0))</f>
        <v/>
      </c>
      <c r="G194" s="40" t="str">
        <f>IF(ISBLANK(pvs_eval!M254), "", IF(pvs_eval!M254 = "Unsafe, Non-Deducible Inference", 0, 1))</f>
        <v/>
      </c>
      <c r="H194" s="40" t="str">
        <f>IF(ISBLANK(pvs_eval!P254), "", IF(pvs_eval!P254 = "No omission", 1, 0))</f>
        <v/>
      </c>
      <c r="I194" s="40" t="str">
        <f>IF(ISBLANK(pvs_eval!T254), "", IF(pvs_eval!T254 = "No extraneous information", 1, 0))</f>
        <v/>
      </c>
      <c r="J194" s="40" t="str">
        <f>IF(ISBLANK(pvs_eval!X254), "", IF(pvs_eval!X254 = "No flow issues", 1, 0))</f>
        <v/>
      </c>
    </row>
    <row r="195">
      <c r="A195" s="43"/>
      <c r="E195" s="40" t="str">
        <f>IF(ISBLANK(pvs_eval!I255), "", IF(pvs_eval!I255 = "No hallucination", 1, 0))</f>
        <v/>
      </c>
      <c r="F195" s="40" t="str">
        <f>IF(ISBLANK(pvs_eval!L255), "", IF(pvs_eval!L255 = "No clinical inference", 1, 0))</f>
        <v/>
      </c>
      <c r="G195" s="40" t="str">
        <f>IF(ISBLANK(pvs_eval!M255), "", IF(pvs_eval!M255 = "Unsafe, Non-Deducible Inference", 0, 1))</f>
        <v/>
      </c>
      <c r="H195" s="40" t="str">
        <f>IF(ISBLANK(pvs_eval!P255), "", IF(pvs_eval!P255 = "No omission", 1, 0))</f>
        <v/>
      </c>
      <c r="I195" s="40" t="str">
        <f>IF(ISBLANK(pvs_eval!T255), "", IF(pvs_eval!T255 = "No extraneous information", 1, 0))</f>
        <v/>
      </c>
      <c r="J195" s="40" t="str">
        <f>IF(ISBLANK(pvs_eval!X255), "", IF(pvs_eval!X255 = "No flow issues", 1, 0))</f>
        <v/>
      </c>
    </row>
    <row r="196">
      <c r="A196" s="43"/>
      <c r="E196" s="40" t="str">
        <f>IF(ISBLANK(pvs_eval!I256), "", IF(pvs_eval!I256 = "No hallucination", 1, 0))</f>
        <v/>
      </c>
      <c r="F196" s="40" t="str">
        <f>IF(ISBLANK(pvs_eval!L256), "", IF(pvs_eval!L256 = "No clinical inference", 1, 0))</f>
        <v/>
      </c>
      <c r="G196" s="40" t="str">
        <f>IF(ISBLANK(pvs_eval!M256), "", IF(pvs_eval!M256 = "Unsafe, Non-Deducible Inference", 0, 1))</f>
        <v/>
      </c>
      <c r="H196" s="40" t="str">
        <f>IF(ISBLANK(pvs_eval!P256), "", IF(pvs_eval!P256 = "No omission", 1, 0))</f>
        <v/>
      </c>
      <c r="I196" s="40" t="str">
        <f>IF(ISBLANK(pvs_eval!T256), "", IF(pvs_eval!T256 = "No extraneous information", 1, 0))</f>
        <v/>
      </c>
      <c r="J196" s="40" t="str">
        <f>IF(ISBLANK(pvs_eval!X256), "", IF(pvs_eval!X256 = "No flow issues", 1, 0))</f>
        <v/>
      </c>
    </row>
    <row r="197">
      <c r="A197" s="43"/>
      <c r="E197" s="40" t="str">
        <f>IF(ISBLANK(pvs_eval!I257), "", IF(pvs_eval!I257 = "No hallucination", 1, 0))</f>
        <v/>
      </c>
      <c r="F197" s="40" t="str">
        <f>IF(ISBLANK(pvs_eval!L257), "", IF(pvs_eval!L257 = "No clinical inference", 1, 0))</f>
        <v/>
      </c>
      <c r="G197" s="40" t="str">
        <f>IF(ISBLANK(pvs_eval!M257), "", IF(pvs_eval!M257 = "Unsafe, Non-Deducible Inference", 0, 1))</f>
        <v/>
      </c>
      <c r="H197" s="40" t="str">
        <f>IF(ISBLANK(pvs_eval!P257), "", IF(pvs_eval!P257 = "No omission", 1, 0))</f>
        <v/>
      </c>
      <c r="I197" s="40" t="str">
        <f>IF(ISBLANK(pvs_eval!T257), "", IF(pvs_eval!T257 = "No extraneous information", 1, 0))</f>
        <v/>
      </c>
      <c r="J197" s="40" t="str">
        <f>IF(ISBLANK(pvs_eval!X257), "", IF(pvs_eval!X257 = "No flow issues", 1, 0))</f>
        <v/>
      </c>
    </row>
    <row r="198">
      <c r="A198" s="43"/>
      <c r="E198" s="40" t="str">
        <f>IF(ISBLANK(pvs_eval!I258), "", IF(pvs_eval!I258 = "No hallucination", 1, 0))</f>
        <v/>
      </c>
      <c r="F198" s="40" t="str">
        <f>IF(ISBLANK(pvs_eval!L258), "", IF(pvs_eval!L258 = "No clinical inference", 1, 0))</f>
        <v/>
      </c>
      <c r="G198" s="40" t="str">
        <f>IF(ISBLANK(pvs_eval!M258), "", IF(pvs_eval!M258 = "Unsafe, Non-Deducible Inference", 0, 1))</f>
        <v/>
      </c>
      <c r="H198" s="40" t="str">
        <f>IF(ISBLANK(pvs_eval!P258), "", IF(pvs_eval!P258 = "No omission", 1, 0))</f>
        <v/>
      </c>
      <c r="I198" s="40" t="str">
        <f>IF(ISBLANK(pvs_eval!T258), "", IF(pvs_eval!T258 = "No extraneous information", 1, 0))</f>
        <v/>
      </c>
      <c r="J198" s="40" t="str">
        <f>IF(ISBLANK(pvs_eval!X258), "", IF(pvs_eval!X258 = "No flow issues", 1, 0))</f>
        <v/>
      </c>
    </row>
    <row r="199">
      <c r="A199" s="43"/>
      <c r="E199" s="40" t="str">
        <f>IF(ISBLANK(pvs_eval!I259), "", IF(pvs_eval!I259 = "No hallucination", 1, 0))</f>
        <v/>
      </c>
      <c r="F199" s="40" t="str">
        <f>IF(ISBLANK(pvs_eval!L259), "", IF(pvs_eval!L259 = "No clinical inference", 1, 0))</f>
        <v/>
      </c>
      <c r="G199" s="40" t="str">
        <f>IF(ISBLANK(pvs_eval!M259), "", IF(pvs_eval!M259 = "Unsafe, Non-Deducible Inference", 0, 1))</f>
        <v/>
      </c>
      <c r="H199" s="40" t="str">
        <f>IF(ISBLANK(pvs_eval!P259), "", IF(pvs_eval!P259 = "No omission", 1, 0))</f>
        <v/>
      </c>
      <c r="I199" s="40" t="str">
        <f>IF(ISBLANK(pvs_eval!T259), "", IF(pvs_eval!T259 = "No extraneous information", 1, 0))</f>
        <v/>
      </c>
      <c r="J199" s="40" t="str">
        <f>IF(ISBLANK(pvs_eval!X259), "", IF(pvs_eval!X259 = "No flow issues", 1, 0))</f>
        <v/>
      </c>
    </row>
  </sheetData>
  <conditionalFormatting sqref="B2:C7 B9:C9 C20:C21">
    <cfRule type="cellIs" dxfId="0" priority="1" operator="greaterThan">
      <formula>#REF!</formula>
    </cfRule>
  </conditionalFormatting>
  <drawing r:id="rId1"/>
</worksheet>
</file>